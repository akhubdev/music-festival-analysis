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tables/table7.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drawings/drawing1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D:\Coding_ninjas_project\Excel_Music_Festival_Project_CN\"/>
    </mc:Choice>
  </mc:AlternateContent>
  <xr:revisionPtr revIDLastSave="0" documentId="13_ncr:1_{3A00879E-3FE9-4E7D-B911-9F0DBBFA59C1}" xr6:coauthVersionLast="47" xr6:coauthVersionMax="47" xr10:uidLastSave="{00000000-0000-0000-0000-000000000000}"/>
  <bookViews>
    <workbookView xWindow="-108" yWindow="-108" windowWidth="23256" windowHeight="12456" firstSheet="2" activeTab="5" xr2:uid="{4B283894-C502-4473-A57A-D605054C6633}"/>
  </bookViews>
  <sheets>
    <sheet name="ROW_Music_Festival_Data" sheetId="3" r:id="rId1"/>
    <sheet name="ROW_Artist_Popularity_Data" sheetId="2" r:id="rId2"/>
    <sheet name="Festival_Data_Clean" sheetId="4" r:id="rId3"/>
    <sheet name="Festival_Clean_PowerBI" sheetId="22" r:id="rId4"/>
    <sheet name="Artist_Popularity_Clean" sheetId="5" r:id="rId5"/>
    <sheet name="Artist_Popularity_Clean_PowerBI" sheetId="23" r:id="rId6"/>
    <sheet name="Stage2_Q1" sheetId="6" r:id="rId7"/>
    <sheet name="Stage2_Q2" sheetId="7" r:id="rId8"/>
    <sheet name="Stage2_Q3" sheetId="8" r:id="rId9"/>
    <sheet name="Stage3_Q1" sheetId="9" r:id="rId10"/>
    <sheet name="Stage3_Q2" sheetId="10" r:id="rId11"/>
    <sheet name="Stage3_Q3" sheetId="11" r:id="rId12"/>
    <sheet name="Stage4_Q1" sheetId="12" r:id="rId13"/>
    <sheet name="Stage4_Q2" sheetId="13" r:id="rId14"/>
    <sheet name="Stage4_Q3" sheetId="14" r:id="rId15"/>
    <sheet name="Stage5_Q1" sheetId="15" r:id="rId16"/>
    <sheet name="Stage5_Q2" sheetId="16" r:id="rId17"/>
    <sheet name="Stage5_Q3" sheetId="17" r:id="rId18"/>
    <sheet name="Stage6_Q1" sheetId="18" r:id="rId19"/>
    <sheet name="Stage6_Q2" sheetId="19" r:id="rId20"/>
  </sheets>
  <definedNames>
    <definedName name="_xlcn.WorksheetConnection_Music_Festival_Analysis.xlsxArtist_Popularity_Data1" hidden="1">Artist_Popularity_Data[]</definedName>
    <definedName name="ExternalData_1" localSheetId="4" hidden="1">Artist_Popularity_Clean!$A$1:$I$11</definedName>
    <definedName name="ExternalData_1" localSheetId="5" hidden="1">Artist_Popularity_Clean_PowerBI!$A$1:$I$11</definedName>
    <definedName name="ExternalData_1" localSheetId="3" hidden="1">Festival_Clean_PowerBI!$A$1:$K$101</definedName>
    <definedName name="ExternalData_1" localSheetId="2" hidden="1">Festival_Data_Clean!$A$1:$K$101</definedName>
    <definedName name="ExternalData_1" localSheetId="1" hidden="1">ROW_Artist_Popularity_Data!$A$1:$I$11</definedName>
    <definedName name="ExternalData_1" localSheetId="0" hidden="1">ROW_Music_Festival_Data!$A$1:$K$101</definedName>
  </definedNames>
  <calcPr calcId="191029"/>
  <pivotCaches>
    <pivotCache cacheId="0" r:id="rId2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rtist_Popularity_Data" name="Artist_Popularity_Data" connection="WorksheetConnection_Music_Festival_Analysis.xlsx!Artist_Popularit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8" l="1"/>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2"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B2" i="18"/>
  <c r="A2" i="18"/>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B3" i="17"/>
  <c r="B4" i="17"/>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A3"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44" i="17"/>
  <c r="A45" i="17"/>
  <c r="A46" i="17"/>
  <c r="A47" i="17"/>
  <c r="A48" i="17"/>
  <c r="A49" i="17"/>
  <c r="A50" i="17"/>
  <c r="A51" i="17"/>
  <c r="A52" i="17"/>
  <c r="A53" i="17"/>
  <c r="A54" i="17"/>
  <c r="A55" i="17"/>
  <c r="A56" i="17"/>
  <c r="A57" i="17"/>
  <c r="A58" i="17"/>
  <c r="A59" i="17"/>
  <c r="A60" i="17"/>
  <c r="A61" i="17"/>
  <c r="A62" i="17"/>
  <c r="A63" i="17"/>
  <c r="A64" i="17"/>
  <c r="A65" i="17"/>
  <c r="A66" i="17"/>
  <c r="A67" i="17"/>
  <c r="A68" i="17"/>
  <c r="A69" i="17"/>
  <c r="A70" i="17"/>
  <c r="A71" i="17"/>
  <c r="A72" i="17"/>
  <c r="A73" i="17"/>
  <c r="A74" i="17"/>
  <c r="A75" i="17"/>
  <c r="A76" i="17"/>
  <c r="A77" i="17"/>
  <c r="A78" i="17"/>
  <c r="A79" i="17"/>
  <c r="A80" i="17"/>
  <c r="A81" i="17"/>
  <c r="A82" i="17"/>
  <c r="A83" i="17"/>
  <c r="A84" i="17"/>
  <c r="A85" i="17"/>
  <c r="A86" i="17"/>
  <c r="A87" i="17"/>
  <c r="A88" i="17"/>
  <c r="A89" i="17"/>
  <c r="A90" i="17"/>
  <c r="A91" i="17"/>
  <c r="A92" i="17"/>
  <c r="A93" i="17"/>
  <c r="A94" i="17"/>
  <c r="A95" i="17"/>
  <c r="A96" i="17"/>
  <c r="A97" i="17"/>
  <c r="A98" i="17"/>
  <c r="A99" i="17"/>
  <c r="A100" i="17"/>
  <c r="A101" i="17"/>
  <c r="C2" i="17"/>
  <c r="B2" i="17"/>
  <c r="A2" i="17"/>
  <c r="H2" i="16"/>
  <c r="H4" i="16"/>
  <c r="H3" i="16"/>
  <c r="G2" i="16"/>
  <c r="G4" i="16"/>
  <c r="G3"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5" i="16"/>
  <c r="A16" i="16"/>
  <c r="A17" i="16"/>
  <c r="A18" i="16"/>
  <c r="A19" i="16"/>
  <c r="A20" i="16"/>
  <c r="A12" i="16"/>
  <c r="A13" i="16"/>
  <c r="A14" i="16"/>
  <c r="A3" i="16"/>
  <c r="A4" i="16"/>
  <c r="A5" i="16"/>
  <c r="A6" i="16"/>
  <c r="A7" i="16"/>
  <c r="A8" i="16"/>
  <c r="A9" i="16"/>
  <c r="A10" i="16"/>
  <c r="A11" i="16"/>
  <c r="D2" i="16"/>
  <c r="C2" i="16"/>
  <c r="B2" i="16"/>
  <c r="A2" i="16"/>
  <c r="I6" i="15"/>
  <c r="I5" i="15"/>
  <c r="H2" i="15"/>
  <c r="G2" i="15"/>
  <c r="F2"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2" i="15"/>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A3"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C2" i="15"/>
  <c r="B2" i="15"/>
  <c r="A2" i="15"/>
  <c r="J3" i="14"/>
  <c r="K3" i="14"/>
  <c r="L3" i="14"/>
  <c r="L2" i="14"/>
  <c r="K2" i="14"/>
  <c r="J2" i="14"/>
  <c r="G3" i="14"/>
  <c r="G4" i="14"/>
  <c r="G5" i="14"/>
  <c r="G6" i="14"/>
  <c r="G7" i="14"/>
  <c r="G8" i="14"/>
  <c r="G9" i="14"/>
  <c r="G10" i="14"/>
  <c r="G11" i="14"/>
  <c r="G2" i="14"/>
  <c r="F3" i="14"/>
  <c r="F4" i="14"/>
  <c r="F5" i="14"/>
  <c r="F6" i="14"/>
  <c r="F7" i="14"/>
  <c r="F8" i="14"/>
  <c r="F9" i="14"/>
  <c r="F10" i="14"/>
  <c r="F11" i="14"/>
  <c r="F2" i="14"/>
  <c r="E3" i="14"/>
  <c r="E4" i="14"/>
  <c r="E5" i="14"/>
  <c r="E6" i="14"/>
  <c r="E7" i="14"/>
  <c r="E8" i="14"/>
  <c r="E9" i="14"/>
  <c r="E10" i="14"/>
  <c r="E11" i="14"/>
  <c r="E2" i="14"/>
  <c r="D3" i="14"/>
  <c r="D4" i="14"/>
  <c r="D5" i="14"/>
  <c r="D6" i="14"/>
  <c r="D7" i="14"/>
  <c r="D8" i="14"/>
  <c r="D9" i="14"/>
  <c r="D10" i="14"/>
  <c r="D11" i="14"/>
  <c r="C3" i="14"/>
  <c r="C4" i="14"/>
  <c r="C5" i="14"/>
  <c r="C6" i="14"/>
  <c r="C7" i="14"/>
  <c r="C8" i="14"/>
  <c r="C9" i="14"/>
  <c r="C10" i="14"/>
  <c r="C11" i="14"/>
  <c r="B3" i="14"/>
  <c r="B4" i="14"/>
  <c r="B5" i="14"/>
  <c r="B6" i="14"/>
  <c r="B7" i="14"/>
  <c r="B8" i="14"/>
  <c r="B9" i="14"/>
  <c r="B10" i="14"/>
  <c r="B11" i="14"/>
  <c r="A3" i="14"/>
  <c r="A4" i="14"/>
  <c r="A5" i="14"/>
  <c r="A6" i="14"/>
  <c r="A7" i="14"/>
  <c r="A8" i="14"/>
  <c r="A9" i="14"/>
  <c r="A10" i="14"/>
  <c r="A11" i="14"/>
  <c r="D2" i="14"/>
  <c r="C2" i="14"/>
  <c r="B2" i="14"/>
  <c r="A2" i="14"/>
  <c r="B3" i="13"/>
  <c r="B4" i="13"/>
  <c r="B5" i="13"/>
  <c r="B6" i="13"/>
  <c r="B7" i="13"/>
  <c r="B8" i="13"/>
  <c r="B2" i="13"/>
  <c r="A2" i="13" a="1"/>
  <c r="D2" i="12" a="1"/>
  <c r="B3" i="12"/>
  <c r="B4" i="12"/>
  <c r="B5" i="12"/>
  <c r="B6" i="12"/>
  <c r="B7" i="12"/>
  <c r="B8" i="12"/>
  <c r="B9" i="12"/>
  <c r="B10" i="12"/>
  <c r="B11" i="12"/>
  <c r="B2" i="12"/>
  <c r="A3" i="12"/>
  <c r="A4" i="12"/>
  <c r="A5" i="12"/>
  <c r="A6" i="12"/>
  <c r="A7" i="12"/>
  <c r="A8" i="12"/>
  <c r="A9" i="12"/>
  <c r="A10" i="12"/>
  <c r="A11" i="12"/>
  <c r="A2" i="12"/>
  <c r="I3" i="11"/>
  <c r="I2" i="11"/>
  <c r="F3" i="11"/>
  <c r="F4" i="11"/>
  <c r="F5" i="11"/>
  <c r="F6" i="11"/>
  <c r="F7" i="11"/>
  <c r="F8" i="11"/>
  <c r="F9" i="11"/>
  <c r="F10" i="11"/>
  <c r="F11" i="11"/>
  <c r="F2" i="11"/>
  <c r="D3" i="11"/>
  <c r="D4" i="11"/>
  <c r="D5" i="11"/>
  <c r="D6" i="11"/>
  <c r="D7" i="11"/>
  <c r="D8" i="11"/>
  <c r="D9" i="11"/>
  <c r="D10" i="11"/>
  <c r="D11" i="11"/>
  <c r="D2" i="11"/>
  <c r="C3" i="11"/>
  <c r="C4" i="11"/>
  <c r="C5" i="11"/>
  <c r="C6" i="11"/>
  <c r="C7" i="11"/>
  <c r="C8" i="11"/>
  <c r="C9" i="11"/>
  <c r="C10" i="11"/>
  <c r="C11" i="11"/>
  <c r="C2" i="11"/>
  <c r="B3" i="11"/>
  <c r="B4" i="11"/>
  <c r="B5" i="11"/>
  <c r="B6" i="11"/>
  <c r="B7" i="11"/>
  <c r="B8" i="11"/>
  <c r="B9" i="11"/>
  <c r="B10" i="11"/>
  <c r="B11" i="11"/>
  <c r="B2" i="11"/>
  <c r="A2" i="11" a="1"/>
  <c r="P3" i="10"/>
  <c r="P4" i="10"/>
  <c r="P5" i="10"/>
  <c r="P2" i="10"/>
  <c r="Q2" i="10" s="1"/>
  <c r="Q3" i="10"/>
  <c r="Q4" i="10"/>
  <c r="Q5" i="10"/>
  <c r="N3" i="10"/>
  <c r="N4" i="10"/>
  <c r="N5" i="10"/>
  <c r="N2" i="10"/>
  <c r="M3" i="10"/>
  <c r="M4" i="10"/>
  <c r="M5" i="10"/>
  <c r="M2" i="10"/>
  <c r="K3" i="10"/>
  <c r="K4" i="10"/>
  <c r="K5" i="10"/>
  <c r="K2" i="10"/>
  <c r="J2" i="10" a="1"/>
  <c r="H3" i="10"/>
  <c r="H4" i="10"/>
  <c r="H5" i="10"/>
  <c r="H2" i="10"/>
  <c r="G2" i="10" a="1"/>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D2" i="10"/>
  <c r="C2" i="10"/>
  <c r="B2" i="10"/>
  <c r="A2" i="10"/>
  <c r="E2" i="9"/>
  <c r="C3" i="9"/>
  <c r="C4" i="9"/>
  <c r="C5" i="9"/>
  <c r="C6" i="9"/>
  <c r="C7" i="9"/>
  <c r="C8" i="9"/>
  <c r="C9" i="9"/>
  <c r="C10" i="9"/>
  <c r="C11" i="9"/>
  <c r="C2" i="9"/>
  <c r="B3" i="9"/>
  <c r="B4" i="9"/>
  <c r="B5" i="9"/>
  <c r="B6" i="9"/>
  <c r="B7" i="9"/>
  <c r="B8" i="9"/>
  <c r="B9" i="9"/>
  <c r="B10" i="9"/>
  <c r="B11" i="9"/>
  <c r="B2" i="9"/>
  <c r="A2" i="9" a="1"/>
  <c r="G3" i="8"/>
  <c r="G2" i="8"/>
  <c r="F3" i="8"/>
  <c r="F2" i="8"/>
  <c r="B3" i="8"/>
  <c r="B4" i="8"/>
  <c r="B5" i="8"/>
  <c r="B6" i="8"/>
  <c r="B7" i="8"/>
  <c r="B8" i="8"/>
  <c r="B9" i="8"/>
  <c r="B10" i="8"/>
  <c r="B11" i="8"/>
  <c r="B2" i="8"/>
  <c r="A2" i="8" a="1"/>
  <c r="G2" i="7" a="1"/>
  <c r="E2" i="7"/>
  <c r="C2" i="7"/>
  <c r="C3" i="7"/>
  <c r="C4" i="7"/>
  <c r="C5" i="7"/>
  <c r="C6" i="7"/>
  <c r="C7" i="7"/>
  <c r="C8" i="7"/>
  <c r="C9" i="7"/>
  <c r="C10" i="7"/>
  <c r="C11" i="7"/>
  <c r="B3" i="7"/>
  <c r="B4" i="7"/>
  <c r="B5" i="7"/>
  <c r="B6" i="7"/>
  <c r="B7" i="7"/>
  <c r="B8" i="7"/>
  <c r="B9" i="7"/>
  <c r="B10" i="7"/>
  <c r="B11" i="7"/>
  <c r="B2" i="7"/>
  <c r="A2" i="7" a="1"/>
  <c r="E2" i="6" a="1"/>
  <c r="F2" i="6"/>
  <c r="F3" i="6"/>
  <c r="F4" i="6"/>
  <c r="F5" i="6"/>
  <c r="F6" i="6"/>
  <c r="F7" i="6"/>
  <c r="F8" i="6"/>
  <c r="F9" i="6"/>
  <c r="F10" i="6"/>
  <c r="F11" i="6"/>
  <c r="F12" i="6"/>
  <c r="F13" i="6"/>
  <c r="D2" i="6" a="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2"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9" i="6"/>
  <c r="A10" i="6"/>
  <c r="A11" i="6"/>
  <c r="A12" i="6"/>
  <c r="A13" i="6"/>
  <c r="A14" i="6"/>
  <c r="A15" i="6"/>
  <c r="A16" i="6"/>
  <c r="A3" i="6"/>
  <c r="A4" i="6"/>
  <c r="A5" i="6"/>
  <c r="A6" i="6"/>
  <c r="A7" i="6"/>
  <c r="A8" i="6"/>
  <c r="A2" i="6"/>
  <c r="G16" i="5"/>
  <c r="G15" i="5"/>
  <c r="F16" i="5"/>
  <c r="F15" i="5"/>
  <c r="E16" i="5"/>
  <c r="E15" i="5"/>
  <c r="D16" i="5"/>
  <c r="D15" i="5"/>
  <c r="C16" i="5"/>
  <c r="C15" i="5"/>
  <c r="V33" i="4" a="1"/>
  <c r="U33" i="4" a="1"/>
  <c r="T33" i="4" a="1"/>
  <c r="S33" i="4" a="1"/>
  <c r="R33" i="4" a="1"/>
  <c r="P33" i="4" a="1"/>
  <c r="P27" i="4"/>
  <c r="P26" i="4"/>
  <c r="P21" i="4"/>
  <c r="P20" i="4"/>
  <c r="P15" i="4"/>
  <c r="P14" i="4"/>
  <c r="P9" i="4"/>
  <c r="P8" i="4"/>
  <c r="P3" i="4"/>
  <c r="P2" i="4"/>
  <c r="O93" i="4"/>
  <c r="O88" i="4"/>
  <c r="O76" i="4"/>
  <c r="O65" i="4"/>
  <c r="O63" i="4"/>
  <c r="O59" i="4"/>
  <c r="O58" i="4"/>
  <c r="O41" i="4"/>
  <c r="O7" i="4"/>
  <c r="O5" i="4"/>
  <c r="O10" i="4"/>
  <c r="N99" i="4"/>
  <c r="N79" i="4"/>
  <c r="N65" i="4"/>
  <c r="N62" i="4"/>
  <c r="N61" i="4"/>
  <c r="N59" i="4"/>
  <c r="N37" i="4"/>
  <c r="N32" i="4"/>
  <c r="N25" i="4"/>
  <c r="N8" i="4"/>
  <c r="H5" i="16" l="1"/>
  <c r="G5" i="16"/>
  <c r="J2" i="6"/>
  <c r="G17" i="5"/>
  <c r="F17" i="5"/>
  <c r="F18" i="5" s="1"/>
  <c r="F19" i="5"/>
  <c r="E17" i="5"/>
  <c r="D17" i="5"/>
  <c r="C17" i="5"/>
  <c r="P28" i="4"/>
  <c r="P4" i="4"/>
  <c r="P22" i="4"/>
  <c r="P6" i="4"/>
  <c r="P5" i="4"/>
  <c r="P16" i="4"/>
  <c r="P10" i="4"/>
  <c r="G18" i="5" l="1"/>
  <c r="G19" i="5"/>
  <c r="E18" i="5"/>
  <c r="E19" i="5"/>
  <c r="D18" i="5"/>
  <c r="D19" i="5"/>
  <c r="C18" i="5"/>
  <c r="C19" i="5"/>
  <c r="P29" i="4"/>
  <c r="P30" i="4"/>
  <c r="P23" i="4"/>
  <c r="P24" i="4"/>
  <c r="P17" i="4"/>
  <c r="P18" i="4"/>
  <c r="P11" i="4"/>
  <c r="P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BA822F-3EDD-42C9-9F8E-68F29B0D436B}" keepAlive="1" name="Query - Artist_Popularity_Data" description="Connection to the 'Artist_Popularity_Data' query in the workbook." type="5" refreshedVersion="8" background="1" saveData="1">
    <dbPr connection="Provider=Microsoft.Mashup.OleDb.1;Data Source=$Workbook$;Location=Artist_Popularity_Data;Extended Properties=&quot;&quot;" command="SELECT * FROM [Artist_Popularity_Data]"/>
  </connection>
  <connection id="2" xr16:uid="{78402FF2-0224-456F-9FE4-741B231216AB}" keepAlive="1" name="Query - Artist_Popularity_Data (2)" description="Connection to the 'Artist_Popularity_Data (2)' query in the workbook." type="5" refreshedVersion="8" background="1" saveData="1">
    <dbPr connection="Provider=Microsoft.Mashup.OleDb.1;Data Source=$Workbook$;Location=&quot;Artist_Popularity_Data (2)&quot;;Extended Properties=&quot;&quot;" command="SELECT * FROM [Artist_Popularity_Data (2)]"/>
  </connection>
  <connection id="3" xr16:uid="{5A68B01C-0938-4686-AAA7-99DEABFA8A08}" keepAlive="1" name="Query - Artist_Popularity_Data (3)" description="Connection to the 'Artist_Popularity_Data (3)' query in the workbook." type="5" refreshedVersion="8" background="1" saveData="1">
    <dbPr connection="Provider=Microsoft.Mashup.OleDb.1;Data Source=$Workbook$;Location=&quot;Artist_Popularity_Data (3)&quot;;Extended Properties=&quot;&quot;" command="SELECT * FROM [Artist_Popularity_Data (3)]"/>
  </connection>
  <connection id="4" xr16:uid="{6C9AA2F5-4D7E-4538-BA87-913B75DA40CE}" keepAlive="1" name="Query - Music_Festival_Data" description="Connection to the 'Music_Festival_Data' query in the workbook." type="5" refreshedVersion="8" background="1" saveData="1">
    <dbPr connection="Provider=Microsoft.Mashup.OleDb.1;Data Source=$Workbook$;Location=Music_Festival_Data;Extended Properties=&quot;&quot;" command="SELECT * FROM [Music_Festival_Data]"/>
  </connection>
  <connection id="5" xr16:uid="{1D8CFCFC-0D65-4BE0-B877-B8A40E9D0FFF}" keepAlive="1" name="Query - Music_Festival_Data (2)" description="Connection to the 'Music_Festival_Data (2)' query in the workbook." type="5" refreshedVersion="8" background="1" saveData="1">
    <dbPr connection="Provider=Microsoft.Mashup.OleDb.1;Data Source=$Workbook$;Location=&quot;Music_Festival_Data (2)&quot;;Extended Properties=&quot;&quot;" command="SELECT * FROM [Music_Festival_Data (2)]"/>
  </connection>
  <connection id="6" xr16:uid="{EAC6B033-AF00-4689-9A29-C66DE9B3F844}" keepAlive="1" name="Query - Music_Festival_Data (3)" description="Connection to the 'Music_Festival_Data (3)' query in the workbook." type="5" refreshedVersion="8" background="1" saveData="1">
    <dbPr connection="Provider=Microsoft.Mashup.OleDb.1;Data Source=$Workbook$;Location=&quot;Music_Festival_Data (3)&quot;;Extended Properties=&quot;&quot;" command="SELECT * FROM [Music_Festival_Data (3)]"/>
  </connection>
  <connection id="7" xr16:uid="{0D285B2F-E1B2-4EC6-9AB5-C3696E2EFD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D8F5F02E-A7CA-46BA-AE90-A7AD13F6C382}" name="WorksheetConnection_Music_Festival_Analysis.xlsx!Artist_Popularity_Data" type="102" refreshedVersion="8" minRefreshableVersion="5">
    <extLst>
      <ext xmlns:x15="http://schemas.microsoft.com/office/spreadsheetml/2010/11/main" uri="{DE250136-89BD-433C-8126-D09CA5730AF9}">
        <x15:connection id="Artist_Popularity_Data">
          <x15:rangePr sourceName="_xlcn.WorksheetConnection_Music_Festival_Analysis.xlsxArtist_Popularity_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<sst xmlns="http://schemas.openxmlformats.org/spreadsheetml/2006/main" count="1935" uniqueCount="232">
  <si>
    <t>Artist_Name</t>
  </si>
  <si>
    <t>Genre</t>
  </si>
  <si>
    <t>Average_Ticket_Price</t>
  </si>
  <si>
    <t>Average_Attendance_Per_City</t>
  </si>
  <si>
    <t>Social_Media_Followers (millions)</t>
  </si>
  <si>
    <t>Streaming_Plays (millions)</t>
  </si>
  <si>
    <t>Merchandise_Revenue_Per_Concert (Rs)</t>
  </si>
  <si>
    <t>Tour_Impact</t>
  </si>
  <si>
    <t>Cities_Performed_In</t>
  </si>
  <si>
    <t>Diljit Dosanjh</t>
  </si>
  <si>
    <t>Punjabi</t>
  </si>
  <si>
    <t>Yes</t>
  </si>
  <si>
    <t>Amritsar, Kolkata, Delhi, Mumbai, Bengaluru</t>
  </si>
  <si>
    <t>Honey Singh</t>
  </si>
  <si>
    <t>Hip-Hop</t>
  </si>
  <si>
    <t>No</t>
  </si>
  <si>
    <t>Pune, Amritsar, Bengaluru</t>
  </si>
  <si>
    <t>Mika Singh</t>
  </si>
  <si>
    <t>Bollywood</t>
  </si>
  <si>
    <t>Delhi, Amritsar, Bengaluru, Mumbai</t>
  </si>
  <si>
    <t>Arijit Singh</t>
  </si>
  <si>
    <t>Nagpur, Jaipur, Chandigarh</t>
  </si>
  <si>
    <t>Ed Sheeran</t>
  </si>
  <si>
    <t>International Pop</t>
  </si>
  <si>
    <t>Pune, Amritsar, Goa, Chandigarh</t>
  </si>
  <si>
    <t>Bryan Adams</t>
  </si>
  <si>
    <t>Rock</t>
  </si>
  <si>
    <t>Delhi, Jaipur, Bengaluru, Mumbai</t>
  </si>
  <si>
    <t>DJ Snake</t>
  </si>
  <si>
    <t>EDM</t>
  </si>
  <si>
    <t>Bengaluru, Jaipur, Mumbai, Chandigarh, Kolkata, Delhi</t>
  </si>
  <si>
    <t>Martin Garrix</t>
  </si>
  <si>
    <t>Chandigarh, Delhi, Pune, Nagpur, Bengaluru, Kolkata</t>
  </si>
  <si>
    <t>Badshah</t>
  </si>
  <si>
    <t>Nagpur, Goa, Amritsar, Chandigarh, Mumbai</t>
  </si>
  <si>
    <t>Shreya Ghoshal</t>
  </si>
  <si>
    <t>Classical/Bollywood</t>
  </si>
  <si>
    <t>Pune, Mumbai, Delhi, Bengaluru, Amritsar</t>
  </si>
  <si>
    <t>Festival_Name</t>
  </si>
  <si>
    <t>City</t>
  </si>
  <si>
    <t>Date</t>
  </si>
  <si>
    <t>Tour_Name</t>
  </si>
  <si>
    <t>Headlining_Artist</t>
  </si>
  <si>
    <t>Supporting_Artists</t>
  </si>
  <si>
    <t>Ticket_Price(Rs)</t>
  </si>
  <si>
    <t>Total_Attendance</t>
  </si>
  <si>
    <t>Merchandise_Sales (Rs)</t>
  </si>
  <si>
    <t>Sponsorship_Revenue (Rs)</t>
  </si>
  <si>
    <t>Total_Revenue (Rs)</t>
  </si>
  <si>
    <t>NH7 Pune</t>
  </si>
  <si>
    <t>Kolkata</t>
  </si>
  <si>
    <t/>
  </si>
  <si>
    <t>DJ Snake, Honey Singh</t>
  </si>
  <si>
    <t>Ziro Festival Arunachal</t>
  </si>
  <si>
    <t>Delhi</t>
  </si>
  <si>
    <t>Bryan Adams, Martin Garrix, Mika Singh</t>
  </si>
  <si>
    <t>Bengaluru</t>
  </si>
  <si>
    <t>Classics Tour</t>
  </si>
  <si>
    <t>Badshah, Arijit Singh, Martin Garrix, Diljit Dosanjh</t>
  </si>
  <si>
    <t>VH1 Supersonic Delhi</t>
  </si>
  <si>
    <t>Goa</t>
  </si>
  <si>
    <t>Martin Garrix, Badshah, Ed Sheeran, Diljit Dosanjh</t>
  </si>
  <si>
    <t>Hornbill Festival Nagaland</t>
  </si>
  <si>
    <t>Nagpur</t>
  </si>
  <si>
    <t>Soulful Nights Tour</t>
  </si>
  <si>
    <t>Martin Garrix, Badshah</t>
  </si>
  <si>
    <t>Jaipur</t>
  </si>
  <si>
    <t>Diljit Dosanjh, Mika Singh</t>
  </si>
  <si>
    <t>Ed Sheeran, Mika Singh, Shreya Ghoshal, Bryan Adams</t>
  </si>
  <si>
    <t>Honey Singh, Badshah, Bryan Adams, Martin Garrix</t>
  </si>
  <si>
    <t>Bollywood Music Project</t>
  </si>
  <si>
    <t>Ed Sheeran, Shreya Ghoshal, Bryan Adams, Badshah</t>
  </si>
  <si>
    <t>Lollapalooza Mumbai</t>
  </si>
  <si>
    <t>Honey Singh, Diljit Dosanjh</t>
  </si>
  <si>
    <t>Honey Singh, Diljit Dosanjh, Arijit Singh</t>
  </si>
  <si>
    <t>Sunburn Goa</t>
  </si>
  <si>
    <t>Honey Singh, Badshah, Bryan Adams</t>
  </si>
  <si>
    <t>Supersonic Bengaluru</t>
  </si>
  <si>
    <t>Pune</t>
  </si>
  <si>
    <t>Born To Shine Tour</t>
  </si>
  <si>
    <t>Mika Singh, Ed Sheeran, Arijit Singh</t>
  </si>
  <si>
    <t>Magnetic Fields Rajasthan</t>
  </si>
  <si>
    <t>Mumbai</t>
  </si>
  <si>
    <t>Shreya Ghoshal, Ed Sheeran, Arijit Singh</t>
  </si>
  <si>
    <t>Amritsar</t>
  </si>
  <si>
    <t>Bryan Adams, Badshah, Honey Singh</t>
  </si>
  <si>
    <t>Ed Sheeran, Shreya Ghoshal</t>
  </si>
  <si>
    <t>Martin Garrix, Mika Singh, Bryan Adams</t>
  </si>
  <si>
    <t>Mathematics Tour</t>
  </si>
  <si>
    <t>Honey Singh, Ed Sheeran</t>
  </si>
  <si>
    <t>Honey Singh, Mika Singh, Martin Garrix, Ed Sheeran</t>
  </si>
  <si>
    <t>Ed Sheeran, Mika Singh, Shreya Ghoshal, Honey Singh</t>
  </si>
  <si>
    <t>Shreya Ghoshal, Diljit Dosanjh, Arijit Singh</t>
  </si>
  <si>
    <t>Honey Singh, Diljit Dosanjh, Badshah</t>
  </si>
  <si>
    <t>Chandigarh</t>
  </si>
  <si>
    <t>Honey Singh, Bryan Adams, DJ Snake</t>
  </si>
  <si>
    <t>Goa Tribal Festival</t>
  </si>
  <si>
    <t>Ed Sheeran, Diljit Dosanjh, Shreya Ghoshal, Badshah</t>
  </si>
  <si>
    <t>Mika Singh, Diljit Dosanjh, Martin Garrix</t>
  </si>
  <si>
    <t>Bryan Adams, Diljit Dosanjh, Honey Singh, Mika Singh</t>
  </si>
  <si>
    <t>Martin Garrix, Bryan Adams, DJ Snake</t>
  </si>
  <si>
    <t>Arijit Singh, Diljit Dosanjh</t>
  </si>
  <si>
    <t>Diljit Dosanjh, Honey Singh, DJ Snake, Shreya Ghoshal</t>
  </si>
  <si>
    <t>Bryan Adams, Mika Singh, Arijit Singh</t>
  </si>
  <si>
    <t>Arijit Singh, Honey Singh</t>
  </si>
  <si>
    <t>Martin Garrix, Diljit Dosanjh, Badshah, Mika Singh</t>
  </si>
  <si>
    <t>DJ Snake, Arijit Singh, Badshah, Mika Singh</t>
  </si>
  <si>
    <t>Mika Singh, Diljit Dosanjh, Shreya Ghoshal</t>
  </si>
  <si>
    <t>Mika Singh, Ed Sheeran, Honey Singh, Diljit Dosanjh</t>
  </si>
  <si>
    <t>Diljit Dosanjh, DJ Snake, Honey Singh, Shreya Ghoshal</t>
  </si>
  <si>
    <t>DJ Snake, Honey Singh, Diljit Dosanjh</t>
  </si>
  <si>
    <t>Arijit Singh, DJ Snake, Martin Garrix</t>
  </si>
  <si>
    <t>DJ Snake, Badshah</t>
  </si>
  <si>
    <t>Diljit Dosanjh, Shreya Ghoshal, Ed Sheeran</t>
  </si>
  <si>
    <t>Bryan Adams, DJ Snake, Mika Singh, Shreya Ghoshal</t>
  </si>
  <si>
    <t>Mika Singh, Arijit Singh, Ed Sheeran</t>
  </si>
  <si>
    <t>Shreya Ghoshal, Badshah, Arijit Singh, Bryan Adams</t>
  </si>
  <si>
    <t>Badshah, Arijit Singh, Mika Singh, Bryan Adams</t>
  </si>
  <si>
    <t>Badshah, DJ Snake, Honey Singh, Mika Singh</t>
  </si>
  <si>
    <t>Honey Singh, Shreya Ghoshal</t>
  </si>
  <si>
    <t>Ed Sheeran, Arijit Singh, Badshah</t>
  </si>
  <si>
    <t>DJ Snake, Mika Singh</t>
  </si>
  <si>
    <t>Mika Singh, Ed Sheeran</t>
  </si>
  <si>
    <t>Mika Singh, Badshah</t>
  </si>
  <si>
    <t>Ed Sheeran, DJ Snake, Mika Singh</t>
  </si>
  <si>
    <t>Diljit Dosanjh, Badshah, Bryan Adams</t>
  </si>
  <si>
    <t>Arijit Singh, Honey Singh, Shreya Ghoshal, Ed Sheeran</t>
  </si>
  <si>
    <t>DJ Snake, Shreya Ghoshal, Honey Singh, Diljit Dosanjh</t>
  </si>
  <si>
    <t>Martin Garrix, Badshah, Bryan Adams, Arijit Singh</t>
  </si>
  <si>
    <t>Diljit Dosanjh, Ed Sheeran, DJ Snake, Honey Singh</t>
  </si>
  <si>
    <t>DJ Snake, Arijit Singh, Shreya Ghoshal</t>
  </si>
  <si>
    <t>Arijit Singh, DJ Snake, Mika Singh</t>
  </si>
  <si>
    <t>Bryan Adams, Martin Garrix</t>
  </si>
  <si>
    <t>Martin Garrix, DJ Snake, Arijit Singh, Honey Singh</t>
  </si>
  <si>
    <t>DJ Snake, Bryan Adams, Martin Garrix, Badshah</t>
  </si>
  <si>
    <t>Diljit Dosanjh, Arijit Singh, Shreya Ghoshal, Mika Singh</t>
  </si>
  <si>
    <t>Bryan Adams, Ed Sheeran, Badshah</t>
  </si>
  <si>
    <t>Shreya Ghoshal, DJ Snake, Honey Singh, Bryan Adams</t>
  </si>
  <si>
    <t>Ed Sheeran, Honey Singh, Arijit Singh</t>
  </si>
  <si>
    <t>Bryan Adams, Honey Singh, Arijit Singh</t>
  </si>
  <si>
    <t>Arijit Singh, Badshah</t>
  </si>
  <si>
    <t>Bryan Adams, Honey Singh, Mika Singh</t>
  </si>
  <si>
    <t>Ed Sheeran, Honey Singh, Badshah, Mika Singh</t>
  </si>
  <si>
    <t>Ed Sheeran, Badshah, Arijit Singh, Bryan Adams</t>
  </si>
  <si>
    <t>Martin Garrix, Honey Singh, DJ Snake, Arijit Singh</t>
  </si>
  <si>
    <t>Mika Singh, DJ Snake, Bryan Adams, Ed Sheeran</t>
  </si>
  <si>
    <t>Martin Garrix, Bryan Adams</t>
  </si>
  <si>
    <t>Bryan Adams, Arijit Singh, Honey Singh</t>
  </si>
  <si>
    <t>Ed Sheeran, Honey Singh, DJ Snake, Bryan Adams</t>
  </si>
  <si>
    <t>Shreya Ghoshal, Martin Garrix</t>
  </si>
  <si>
    <t>Mika Singh, Diljit Dosanjh</t>
  </si>
  <si>
    <t>Arijit Singh, Mika Singh</t>
  </si>
  <si>
    <t>Mika Singh, Badshah, Ed Sheeran, Diljit Dosanjh</t>
  </si>
  <si>
    <t>Arijit Singh, Ed Sheeran</t>
  </si>
  <si>
    <t>Honey Singh, Martin Garrix, DJ Snake, Bryan Adams</t>
  </si>
  <si>
    <t>Martin Garrix, Badshah, Honey Singh, DJ Snake</t>
  </si>
  <si>
    <t>Diljit Dosanjh, Mika Singh, DJ Snake</t>
  </si>
  <si>
    <t>Martin Garrix, DJ Snake, Ed Sheeran, Mika Singh</t>
  </si>
  <si>
    <t>Diljit Dosanjh, Arijit Singh, DJ Snake</t>
  </si>
  <si>
    <t>Badshah, Bryan Adams</t>
  </si>
  <si>
    <t>Arijit Singh, Ed Sheeran, Honey Singh, Mika Singh</t>
  </si>
  <si>
    <t>Diljit Dosanjh, Martin Garrix</t>
  </si>
  <si>
    <t>Mika Singh, DJ Snake</t>
  </si>
  <si>
    <t>Honey Singh, Diljit Dosanjh, Mika Singh</t>
  </si>
  <si>
    <t>Martin Garrix, Ed Sheeran, Mika Singh</t>
  </si>
  <si>
    <t>Shreya Ghoshal, Honey Singh, Badshah</t>
  </si>
  <si>
    <t>Not Specified</t>
  </si>
  <si>
    <t>A column unique &amp; consistency</t>
  </si>
  <si>
    <t>B col unique &amp; consistency</t>
  </si>
  <si>
    <t>C col unique &amp; consistency</t>
  </si>
  <si>
    <t>E col unique &amp; consistency</t>
  </si>
  <si>
    <t>D col unique &amp; consistency</t>
  </si>
  <si>
    <t>F col unique &amp; consistency</t>
  </si>
  <si>
    <t>Outlier</t>
  </si>
  <si>
    <t>Months</t>
  </si>
  <si>
    <t>Total Attendance</t>
  </si>
  <si>
    <t>Month</t>
  </si>
  <si>
    <t>Peak Month</t>
  </si>
  <si>
    <t>Festival Count</t>
  </si>
  <si>
    <t>Top City</t>
  </si>
  <si>
    <t>Headlining Artist</t>
  </si>
  <si>
    <t>Atrist Type</t>
  </si>
  <si>
    <t>Local</t>
  </si>
  <si>
    <t>International</t>
  </si>
  <si>
    <t>Artist Type</t>
  </si>
  <si>
    <t>Attendance Share %</t>
  </si>
  <si>
    <t>Avg Ticket Price</t>
  </si>
  <si>
    <t>Avg Attendance</t>
  </si>
  <si>
    <t>Price-Attendance Correlation</t>
  </si>
  <si>
    <t>Festival</t>
  </si>
  <si>
    <t>Ticket Price</t>
  </si>
  <si>
    <t>Attendance</t>
  </si>
  <si>
    <t>Total Revenue</t>
  </si>
  <si>
    <t>Price Range</t>
  </si>
  <si>
    <t>Avg Revenue/Festival</t>
  </si>
  <si>
    <t>Avg Attendance/Festival</t>
  </si>
  <si>
    <t>Min Ticket Price</t>
  </si>
  <si>
    <t>Max Ticket Price</t>
  </si>
  <si>
    <t>Price Variation</t>
  </si>
  <si>
    <t>Price Variation Observed</t>
  </si>
  <si>
    <t>Price Variation Status</t>
  </si>
  <si>
    <t>Artist</t>
  </si>
  <si>
    <t>Artist List</t>
  </si>
  <si>
    <t>Sorted Artist</t>
  </si>
  <si>
    <t>Artist Count</t>
  </si>
  <si>
    <t>Avg Artist Price</t>
  </si>
  <si>
    <t>Merchandise Revenue</t>
  </si>
  <si>
    <t>Revenue Proxy</t>
  </si>
  <si>
    <t>Revenue Proxy Per Attendance</t>
  </si>
  <si>
    <t>Average Attendance</t>
  </si>
  <si>
    <t>Total Revenue Proxy</t>
  </si>
  <si>
    <t>Average Revenue Proxy per Attendee</t>
  </si>
  <si>
    <t>Sponsorship Revenue</t>
  </si>
  <si>
    <t>Sponsorship Contribution %</t>
  </si>
  <si>
    <t>Total Sponsorship Revenue</t>
  </si>
  <si>
    <t>Overall Sponsorship Contribution %</t>
  </si>
  <si>
    <t>Revenue Type</t>
  </si>
  <si>
    <t>Revenue</t>
  </si>
  <si>
    <t>Sponsorship</t>
  </si>
  <si>
    <t>Other Revenue</t>
  </si>
  <si>
    <t>Price Category</t>
  </si>
  <si>
    <t>₹0-1,500</t>
  </si>
  <si>
    <t>₹1,501-3,000</t>
  </si>
  <si>
    <t>₹4,500+</t>
  </si>
  <si>
    <t>₹3,001-4,500</t>
  </si>
  <si>
    <t>Avg Sponsorship Revenue</t>
  </si>
  <si>
    <t>Merchandise Contribution %</t>
  </si>
  <si>
    <t>Row Labels</t>
  </si>
  <si>
    <t>Grand Total</t>
  </si>
  <si>
    <t>Column Labels</t>
  </si>
  <si>
    <t>Sum of Attendance</t>
  </si>
  <si>
    <t>Revenue Per Attendance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</si>
</sst>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quot;₹&quot;\ #,##0.00"/>
  </numFmts>
  <fonts count="7">
    <font>
      <sz val="11"/>
      <color theme="1"/>
      <name val="Calibri"/>
      <family val="2"/>
      <scheme val="minor"/>
    </font>
    <font>
      <sz val="10"/>
      <color theme="1"/>
      <name val="Arial Unicode MS"/>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0"/>
      <color theme="0"/>
      <name val="Arial Unicode MS"/>
    </font>
  </fonts>
  <fills count="4">
    <fill>
      <patternFill patternType="none"/>
    </fill>
    <fill>
      <patternFill patternType="gray125"/>
    </fill>
    <fill>
      <patternFill patternType="solid">
        <fgColor theme="3"/>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19">
    <xf numFmtId="0" fontId="0" fillId="0" borderId="0" xfId="0"/>
    <xf numFmtId="14" fontId="0" fillId="0" borderId="0" xfId="0" applyNumberFormat="1"/>
    <xf numFmtId="0" fontId="1" fillId="0" borderId="0" xfId="0" applyFont="1"/>
    <xf numFmtId="1" fontId="0" fillId="0" borderId="0" xfId="0" applyNumberFormat="1"/>
    <xf numFmtId="0" fontId="2" fillId="0" borderId="0" xfId="0" applyFont="1"/>
    <xf numFmtId="0" fontId="4" fillId="2" borderId="0" xfId="0" applyFont="1" applyFill="1"/>
    <xf numFmtId="0" fontId="6" fillId="2" borderId="0" xfId="0" applyFont="1" applyFill="1"/>
    <xf numFmtId="0" fontId="5" fillId="2" borderId="0" xfId="0" applyFont="1" applyFill="1"/>
    <xf numFmtId="2" fontId="0" fillId="0" borderId="0" xfId="0" applyNumberFormat="1"/>
    <xf numFmtId="0" fontId="6" fillId="2" borderId="0" xfId="0" applyFont="1" applyFill="1" applyAlignment="1">
      <alignment horizontal="left" vertical="center" indent="1"/>
    </xf>
    <xf numFmtId="10" fontId="0" fillId="0" borderId="0" xfId="1" applyNumberFormat="1" applyFont="1"/>
    <xf numFmtId="0" fontId="2" fillId="3" borderId="0" xfId="0" applyFont="1" applyFill="1"/>
    <xf numFmtId="164" fontId="0" fillId="0" borderId="0" xfId="0" applyNumberFormat="1"/>
    <xf numFmtId="164" fontId="0" fillId="0" borderId="0" xfId="2" applyNumberFormat="1" applyFont="1"/>
    <xf numFmtId="9" fontId="2" fillId="3" borderId="0" xfId="1" applyFont="1" applyFill="1"/>
    <xf numFmtId="9" fontId="0" fillId="0" borderId="0" xfId="1" applyFont="1"/>
    <xf numFmtId="10" fontId="0" fillId="0" borderId="0" xfId="0" applyNumberFormat="1"/>
    <xf numFmtId="0" fontId="0" fillId="0" borderId="0" xfId="0" pivotButton="1"/>
    <xf numFmtId="0" fontId="0" fillId="0" borderId="0" xfId="0" applyAlignment="1">
      <alignment horizontal="left"/>
    </xf>
  </cellXfs>
  <cellStyles count="3">
    <cellStyle name="Comma" xfId="2" builtinId="3"/>
    <cellStyle name="Normal" xfId="0" builtinId="0"/>
    <cellStyle name="Percent" xfId="1" builtinId="5"/>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font>
        <color rgb="FF9C0006"/>
      </font>
      <fill>
        <patternFill>
          <bgColor rgb="FFFFC7CE"/>
        </patternFill>
      </fill>
    </dxf>
    <dxf>
      <font>
        <color rgb="FF9C0006"/>
      </font>
      <fill>
        <patternFill>
          <bgColor rgb="FFFFC7CE"/>
        </patternFill>
      </fill>
    </dxf>
    <dxf>
      <numFmt numFmtId="2" formatCode="0.00"/>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1" defaultTableStyle="TableStyleMedium2" defaultPivotStyle="PivotStyleLight16">
    <tableStyle name="Invisible" pivot="0" table="0" count="0" xr9:uid="{ACEC046D-902C-494C-AC01-72EF5FD4F28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9" Type="http://schemas.openxmlformats.org/officeDocument/2006/relationships/customXml" Target="../customXml/item11.xml"/><Relationship Id="rId21" Type="http://schemas.openxmlformats.org/officeDocument/2006/relationships/pivotCacheDefinition" Target="pivotCache/pivotCacheDefinition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20" Type="http://schemas.openxmlformats.org/officeDocument/2006/relationships/worksheet" Target="worksheets/sheet20.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Monthly Festival Attendance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Stage2_Q1!$E$1</c:f>
              <c:strCache>
                <c:ptCount val="1"/>
                <c:pt idx="0">
                  <c:v>Total Attendance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Stage2_Q1!$D$2:$D$13</c:f>
              <c:strCache>
                <c:ptCount val="12"/>
                <c:pt idx="0">
                  <c:v>January</c:v>
                </c:pt>
                <c:pt idx="1">
                  <c:v>April</c:v>
                </c:pt>
                <c:pt idx="2">
                  <c:v>September</c:v>
                </c:pt>
                <c:pt idx="3">
                  <c:v>March</c:v>
                </c:pt>
                <c:pt idx="4">
                  <c:v>June</c:v>
                </c:pt>
                <c:pt idx="5">
                  <c:v>May</c:v>
                </c:pt>
                <c:pt idx="6">
                  <c:v>December</c:v>
                </c:pt>
                <c:pt idx="7">
                  <c:v>February</c:v>
                </c:pt>
                <c:pt idx="8">
                  <c:v>October</c:v>
                </c:pt>
                <c:pt idx="9">
                  <c:v>August</c:v>
                </c:pt>
                <c:pt idx="10">
                  <c:v>July</c:v>
                </c:pt>
                <c:pt idx="11">
                  <c:v>November</c:v>
                </c:pt>
              </c:strCache>
            </c:strRef>
          </c:cat>
          <c:val>
            <c:numRef>
              <c:f>Stage2_Q1!$E$2:$E$13</c:f>
              <c:numCache>
                <c:formatCode>General</c:formatCode>
                <c:ptCount val="12"/>
                <c:pt idx="0">
                  <c:v>183383.5</c:v>
                </c:pt>
                <c:pt idx="1">
                  <c:v>185700.6</c:v>
                </c:pt>
                <c:pt idx="2">
                  <c:v>142573</c:v>
                </c:pt>
                <c:pt idx="3">
                  <c:v>99290.7</c:v>
                </c:pt>
                <c:pt idx="4">
                  <c:v>216292.12000000002</c:v>
                </c:pt>
                <c:pt idx="5">
                  <c:v>206816.01</c:v>
                </c:pt>
                <c:pt idx="6">
                  <c:v>261513.71000000002</c:v>
                </c:pt>
                <c:pt idx="7">
                  <c:v>154615.29999999999</c:v>
                </c:pt>
                <c:pt idx="8">
                  <c:v>29962.6</c:v>
                </c:pt>
                <c:pt idx="9">
                  <c:v>288400.90000000002</c:v>
                </c:pt>
                <c:pt idx="10">
                  <c:v>158221.6</c:v>
                </c:pt>
                <c:pt idx="11">
                  <c:v>210541.82000000004</c:v>
                </c:pt>
              </c:numCache>
            </c:numRef>
          </c:val>
          <c:extLst>
            <c:ext xmlns:c16="http://schemas.microsoft.com/office/drawing/2014/chart" uri="{C3380CC4-5D6E-409C-BE32-E72D297353CC}">
              <c16:uniqueId val="{00000000-1A2A-4668-BD6C-3B6E5A70E0D5}"/>
            </c:ext>
          </c:extLst>
        </c:ser>
        <c:dLbls>
          <c:showLegendKey val="0"/>
          <c:showVal val="0"/>
          <c:showCatName val="0"/>
          <c:showSerName val="0"/>
          <c:showPercent val="0"/>
          <c:showBubbleSize val="0"/>
        </c:dLbls>
        <c:gapWidth val="100"/>
        <c:overlap val="-24"/>
        <c:axId val="1617933183"/>
        <c:axId val="1613805743"/>
      </c:barChart>
      <c:catAx>
        <c:axId val="1617933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05743"/>
        <c:crosses val="autoZero"/>
        <c:auto val="1"/>
        <c:lblAlgn val="ctr"/>
        <c:lblOffset val="100"/>
        <c:noMultiLvlLbl val="0"/>
      </c:catAx>
      <c:valAx>
        <c:axId val="161380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33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City-wise Festival Attendance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Stage2_Q2!$H$1</c:f>
              <c:strCache>
                <c:ptCount val="1"/>
                <c:pt idx="0">
                  <c:v>Total Attendance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Stage2_Q2!$G$2:$G$11</c:f>
              <c:strCache>
                <c:ptCount val="10"/>
                <c:pt idx="0">
                  <c:v>Goa</c:v>
                </c:pt>
                <c:pt idx="1">
                  <c:v>Jaipur</c:v>
                </c:pt>
                <c:pt idx="2">
                  <c:v>Nagpur</c:v>
                </c:pt>
                <c:pt idx="3">
                  <c:v>Delhi</c:v>
                </c:pt>
                <c:pt idx="4">
                  <c:v>Pune</c:v>
                </c:pt>
                <c:pt idx="5">
                  <c:v>Chandigarh</c:v>
                </c:pt>
                <c:pt idx="6">
                  <c:v>Bengaluru</c:v>
                </c:pt>
                <c:pt idx="7">
                  <c:v>Kolkata</c:v>
                </c:pt>
                <c:pt idx="8">
                  <c:v>Amritsar</c:v>
                </c:pt>
                <c:pt idx="9">
                  <c:v>Mumbai</c:v>
                </c:pt>
              </c:strCache>
            </c:strRef>
          </c:cat>
          <c:val>
            <c:numRef>
              <c:f>Stage2_Q2!$H$2:$H$11</c:f>
              <c:numCache>
                <c:formatCode>General</c:formatCode>
                <c:ptCount val="10"/>
                <c:pt idx="0">
                  <c:v>382152.11</c:v>
                </c:pt>
                <c:pt idx="1">
                  <c:v>334965.90000000002</c:v>
                </c:pt>
                <c:pt idx="2">
                  <c:v>310677.21999999997</c:v>
                </c:pt>
                <c:pt idx="3">
                  <c:v>280485.40999999997</c:v>
                </c:pt>
                <c:pt idx="4">
                  <c:v>182282.2</c:v>
                </c:pt>
                <c:pt idx="5">
                  <c:v>155236.1</c:v>
                </c:pt>
                <c:pt idx="6">
                  <c:v>150796.4</c:v>
                </c:pt>
                <c:pt idx="7">
                  <c:v>144910.20000000001</c:v>
                </c:pt>
                <c:pt idx="8">
                  <c:v>116679.12</c:v>
                </c:pt>
                <c:pt idx="9">
                  <c:v>79127.199999999997</c:v>
                </c:pt>
              </c:numCache>
            </c:numRef>
          </c:val>
          <c:extLst>
            <c:ext xmlns:c16="http://schemas.microsoft.com/office/drawing/2014/chart" uri="{C3380CC4-5D6E-409C-BE32-E72D297353CC}">
              <c16:uniqueId val="{00000000-1094-4E5D-AAB9-B33D6CB5464C}"/>
            </c:ext>
          </c:extLst>
        </c:ser>
        <c:dLbls>
          <c:showLegendKey val="0"/>
          <c:showVal val="0"/>
          <c:showCatName val="0"/>
          <c:showSerName val="0"/>
          <c:showPercent val="0"/>
          <c:showBubbleSize val="0"/>
        </c:dLbls>
        <c:gapWidth val="100"/>
        <c:overlap val="-24"/>
        <c:axId val="1620036655"/>
        <c:axId val="1613881103"/>
        <c:extLst>
          <c:ext xmlns:c15="http://schemas.microsoft.com/office/drawing/2012/chart" uri="{02D57815-91ED-43cb-92C2-25804820EDAC}">
            <c15:filteredBarSeries>
              <c15:ser>
                <c:idx val="1"/>
                <c:order val="1"/>
                <c:tx>
                  <c:strRef>
                    <c:extLst>
                      <c:ext uri="{02D57815-91ED-43cb-92C2-25804820EDAC}">
                        <c15:formulaRef>
                          <c15:sqref>Stage2_Q2!$I$1</c15:sqref>
                        </c15:formulaRef>
                      </c:ext>
                    </c:extLst>
                    <c:strCache>
                      <c:ptCount val="1"/>
                      <c:pt idx="0">
                        <c:v>Festival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Stage2_Q2!$G$2:$G$11</c15:sqref>
                        </c15:formulaRef>
                      </c:ext>
                    </c:extLst>
                    <c:strCache>
                      <c:ptCount val="10"/>
                      <c:pt idx="0">
                        <c:v>Goa</c:v>
                      </c:pt>
                      <c:pt idx="1">
                        <c:v>Jaipur</c:v>
                      </c:pt>
                      <c:pt idx="2">
                        <c:v>Nagpur</c:v>
                      </c:pt>
                      <c:pt idx="3">
                        <c:v>Delhi</c:v>
                      </c:pt>
                      <c:pt idx="4">
                        <c:v>Pune</c:v>
                      </c:pt>
                      <c:pt idx="5">
                        <c:v>Chandigarh</c:v>
                      </c:pt>
                      <c:pt idx="6">
                        <c:v>Bengaluru</c:v>
                      </c:pt>
                      <c:pt idx="7">
                        <c:v>Kolkata</c:v>
                      </c:pt>
                      <c:pt idx="8">
                        <c:v>Amritsar</c:v>
                      </c:pt>
                      <c:pt idx="9">
                        <c:v>Mumbai</c:v>
                      </c:pt>
                    </c:strCache>
                  </c:strRef>
                </c:cat>
                <c:val>
                  <c:numRef>
                    <c:extLst>
                      <c:ext uri="{02D57815-91ED-43cb-92C2-25804820EDAC}">
                        <c15:formulaRef>
                          <c15:sqref>Stage2_Q2!$I$2:$I$11</c15:sqref>
                        </c15:formulaRef>
                      </c:ext>
                    </c:extLst>
                    <c:numCache>
                      <c:formatCode>General</c:formatCode>
                      <c:ptCount val="10"/>
                      <c:pt idx="0">
                        <c:v>16</c:v>
                      </c:pt>
                      <c:pt idx="1">
                        <c:v>13</c:v>
                      </c:pt>
                      <c:pt idx="2">
                        <c:v>14</c:v>
                      </c:pt>
                      <c:pt idx="3">
                        <c:v>12</c:v>
                      </c:pt>
                      <c:pt idx="4">
                        <c:v>8</c:v>
                      </c:pt>
                      <c:pt idx="5">
                        <c:v>8</c:v>
                      </c:pt>
                      <c:pt idx="6">
                        <c:v>10</c:v>
                      </c:pt>
                      <c:pt idx="7">
                        <c:v>8</c:v>
                      </c:pt>
                      <c:pt idx="8">
                        <c:v>6</c:v>
                      </c:pt>
                      <c:pt idx="9">
                        <c:v>5</c:v>
                      </c:pt>
                    </c:numCache>
                  </c:numRef>
                </c:val>
                <c:extLst>
                  <c:ext xmlns:c16="http://schemas.microsoft.com/office/drawing/2014/chart" uri="{C3380CC4-5D6E-409C-BE32-E72D297353CC}">
                    <c16:uniqueId val="{00000001-1094-4E5D-AAB9-B33D6CB5464C}"/>
                  </c:ext>
                </c:extLst>
              </c15:ser>
            </c15:filteredBarSeries>
          </c:ext>
        </c:extLst>
      </c:barChart>
      <c:catAx>
        <c:axId val="16200366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81103"/>
        <c:crosses val="autoZero"/>
        <c:auto val="1"/>
        <c:lblAlgn val="ctr"/>
        <c:lblOffset val="100"/>
        <c:noMultiLvlLbl val="0"/>
      </c:catAx>
      <c:valAx>
        <c:axId val="161388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0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000" b="1" i="0" u="none" strike="noStrike" cap="all" baseline="0"/>
              <a:t>Local vs International Attendance Share</a:t>
            </a:r>
            <a:endParaRPr lang="en-US" sz="10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Stage2_Q3!$F$1</c:f>
              <c:strCache>
                <c:ptCount val="1"/>
                <c:pt idx="0">
                  <c:v>Total Attendance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AC2-4D0B-9C7D-60C9C80FE92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AC2-4D0B-9C7D-60C9C80FE9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Stage2_Q3!$E$2:$E$3</c:f>
              <c:strCache>
                <c:ptCount val="2"/>
                <c:pt idx="0">
                  <c:v>Local</c:v>
                </c:pt>
                <c:pt idx="1">
                  <c:v>International</c:v>
                </c:pt>
              </c:strCache>
            </c:strRef>
          </c:cat>
          <c:val>
            <c:numRef>
              <c:f>Stage2_Q3!$F$2:$F$3</c:f>
              <c:numCache>
                <c:formatCode>General</c:formatCode>
                <c:ptCount val="2"/>
                <c:pt idx="0">
                  <c:v>1557694.13</c:v>
                </c:pt>
                <c:pt idx="1">
                  <c:v>579617.73</c:v>
                </c:pt>
              </c:numCache>
            </c:numRef>
          </c:val>
          <c:extLst>
            <c:ext xmlns:c16="http://schemas.microsoft.com/office/drawing/2014/chart" uri="{C3380CC4-5D6E-409C-BE32-E72D297353CC}">
              <c16:uniqueId val="{00000000-9193-4372-A6E7-FCDAF2AF765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Ticket Price vs Average Attendance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Stage3_Q1!$C$1</c:f>
              <c:strCache>
                <c:ptCount val="1"/>
                <c:pt idx="0">
                  <c:v>Avg Attendance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xVal>
            <c:numRef>
              <c:f>Stage3_Q1!$B$2:$B$11</c:f>
              <c:numCache>
                <c:formatCode>0</c:formatCode>
                <c:ptCount val="10"/>
                <c:pt idx="0">
                  <c:v>2832.2</c:v>
                </c:pt>
                <c:pt idx="1">
                  <c:v>4060.8874999999994</c:v>
                </c:pt>
                <c:pt idx="2">
                  <c:v>3754.8</c:v>
                </c:pt>
                <c:pt idx="3">
                  <c:v>2439.6406249999995</c:v>
                </c:pt>
                <c:pt idx="4">
                  <c:v>2663.1</c:v>
                </c:pt>
                <c:pt idx="5">
                  <c:v>3183.3384615384616</c:v>
                </c:pt>
                <c:pt idx="6">
                  <c:v>3479.1000000000004</c:v>
                </c:pt>
                <c:pt idx="7">
                  <c:v>2489.6</c:v>
                </c:pt>
                <c:pt idx="8">
                  <c:v>2686.6666666666665</c:v>
                </c:pt>
                <c:pt idx="9">
                  <c:v>2033.9</c:v>
                </c:pt>
              </c:numCache>
            </c:numRef>
          </c:xVal>
          <c:yVal>
            <c:numRef>
              <c:f>Stage3_Q1!$C$2:$C$11</c:f>
              <c:numCache>
                <c:formatCode>0.00</c:formatCode>
                <c:ptCount val="10"/>
                <c:pt idx="0">
                  <c:v>18113.775000000001</c:v>
                </c:pt>
                <c:pt idx="1">
                  <c:v>23373.784166666665</c:v>
                </c:pt>
                <c:pt idx="2">
                  <c:v>15079.64</c:v>
                </c:pt>
                <c:pt idx="3">
                  <c:v>23884.506874999999</c:v>
                </c:pt>
                <c:pt idx="4">
                  <c:v>22191.23</c:v>
                </c:pt>
                <c:pt idx="5">
                  <c:v>25766.607692307694</c:v>
                </c:pt>
                <c:pt idx="6">
                  <c:v>22785.275000000001</c:v>
                </c:pt>
                <c:pt idx="7">
                  <c:v>15825.439999999999</c:v>
                </c:pt>
                <c:pt idx="8">
                  <c:v>19446.52</c:v>
                </c:pt>
                <c:pt idx="9">
                  <c:v>19404.512500000001</c:v>
                </c:pt>
              </c:numCache>
            </c:numRef>
          </c:yVal>
          <c:smooth val="0"/>
          <c:extLst>
            <c:ext xmlns:c16="http://schemas.microsoft.com/office/drawing/2014/chart" uri="{C3380CC4-5D6E-409C-BE32-E72D297353CC}">
              <c16:uniqueId val="{00000000-9F82-4B79-8167-183756499E0C}"/>
            </c:ext>
          </c:extLst>
        </c:ser>
        <c:dLbls>
          <c:showLegendKey val="0"/>
          <c:showVal val="0"/>
          <c:showCatName val="0"/>
          <c:showSerName val="0"/>
          <c:showPercent val="0"/>
          <c:showBubbleSize val="0"/>
        </c:dLbls>
        <c:axId val="1721074687"/>
        <c:axId val="1613794703"/>
      </c:scatterChart>
      <c:valAx>
        <c:axId val="17210746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1" i="0" u="none" strike="noStrike" baseline="0">
                    <a:solidFill>
                      <a:schemeClr val="tx1"/>
                    </a:solidFill>
                  </a:rPr>
                  <a:t>Average Ticket Price (₹)</a:t>
                </a:r>
                <a:endParaRPr lang="en-IN" b="1">
                  <a:solidFill>
                    <a:schemeClr val="tx1"/>
                  </a:solidFill>
                </a:endParaRPr>
              </a:p>
            </c:rich>
          </c:tx>
          <c:layout>
            <c:manualLayout>
              <c:xMode val="edge"/>
              <c:yMode val="edge"/>
              <c:x val="0.38036815867815188"/>
              <c:y val="0.912106299212598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794703"/>
        <c:crosses val="autoZero"/>
        <c:crossBetween val="midCat"/>
      </c:valAx>
      <c:valAx>
        <c:axId val="1613794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1" i="0" u="none" strike="noStrike" baseline="0">
                    <a:solidFill>
                      <a:schemeClr val="tx1"/>
                    </a:solidFill>
                  </a:rPr>
                  <a:t>Average Attendance</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7468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Average Attendance by Ticket Price Range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Stage3_Q2!$Q$1</c:f>
              <c:strCache>
                <c:ptCount val="1"/>
                <c:pt idx="0">
                  <c:v>Avg Attendance/Festival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Stage3_Q2!$P$2:$P$5</c:f>
              <c:strCache>
                <c:ptCount val="4"/>
                <c:pt idx="0">
                  <c:v>₹0-1,500</c:v>
                </c:pt>
                <c:pt idx="1">
                  <c:v>₹1,501-3,000</c:v>
                </c:pt>
                <c:pt idx="2">
                  <c:v>₹4,500+</c:v>
                </c:pt>
                <c:pt idx="3">
                  <c:v>₹3,001-4,500</c:v>
                </c:pt>
              </c:strCache>
            </c:strRef>
          </c:cat>
          <c:val>
            <c:numRef>
              <c:f>Stage3_Q2!$Q$2:$Q$5</c:f>
              <c:numCache>
                <c:formatCode>General</c:formatCode>
                <c:ptCount val="4"/>
                <c:pt idx="0">
                  <c:v>26158.989411764705</c:v>
                </c:pt>
                <c:pt idx="1">
                  <c:v>19802.903513513516</c:v>
                </c:pt>
                <c:pt idx="2">
                  <c:v>16269.793333333335</c:v>
                </c:pt>
                <c:pt idx="3">
                  <c:v>23092.087419354833</c:v>
                </c:pt>
              </c:numCache>
            </c:numRef>
          </c:val>
          <c:extLst>
            <c:ext xmlns:c16="http://schemas.microsoft.com/office/drawing/2014/chart" uri="{C3380CC4-5D6E-409C-BE32-E72D297353CC}">
              <c16:uniqueId val="{00000000-441F-4001-8F12-7D9FA82890F3}"/>
            </c:ext>
          </c:extLst>
        </c:ser>
        <c:dLbls>
          <c:showLegendKey val="0"/>
          <c:showVal val="0"/>
          <c:showCatName val="0"/>
          <c:showSerName val="0"/>
          <c:showPercent val="0"/>
          <c:showBubbleSize val="0"/>
        </c:dLbls>
        <c:gapWidth val="100"/>
        <c:overlap val="-24"/>
        <c:axId val="1694648319"/>
        <c:axId val="1613847983"/>
      </c:barChart>
      <c:catAx>
        <c:axId val="1694648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47983"/>
        <c:crosses val="autoZero"/>
        <c:auto val="1"/>
        <c:lblAlgn val="ctr"/>
        <c:lblOffset val="100"/>
        <c:noMultiLvlLbl val="0"/>
      </c:catAx>
      <c:valAx>
        <c:axId val="161384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648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Ticket Price Variation by Festival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Stage3_Q3!$D$1</c:f>
              <c:strCache>
                <c:ptCount val="1"/>
                <c:pt idx="0">
                  <c:v>Price Variation</c:v>
                </c:pt>
              </c:strCache>
            </c:strRef>
          </c:tx>
          <c:spPr>
            <a:solidFill>
              <a:schemeClr val="accent1"/>
            </a:solidFill>
            <a:ln>
              <a:noFill/>
            </a:ln>
            <a:effectLst/>
          </c:spPr>
          <c:invertIfNegative val="0"/>
          <c:cat>
            <c:strRef>
              <c:f>Stage3_Q3!$A$2:$A$11</c:f>
              <c:strCache>
                <c:ptCount val="10"/>
                <c:pt idx="0">
                  <c:v>NH7 Pune</c:v>
                </c:pt>
                <c:pt idx="1">
                  <c:v>Ziro Festival Arunachal</c:v>
                </c:pt>
                <c:pt idx="2">
                  <c:v>VH1 Supersonic Delhi</c:v>
                </c:pt>
                <c:pt idx="3">
                  <c:v>Hornbill Festival Nagaland</c:v>
                </c:pt>
                <c:pt idx="4">
                  <c:v>Bollywood Music Project</c:v>
                </c:pt>
                <c:pt idx="5">
                  <c:v>Lollapalooza Mumbai</c:v>
                </c:pt>
                <c:pt idx="6">
                  <c:v>Sunburn Goa</c:v>
                </c:pt>
                <c:pt idx="7">
                  <c:v>Supersonic Bengaluru</c:v>
                </c:pt>
                <c:pt idx="8">
                  <c:v>Magnetic Fields Rajasthan</c:v>
                </c:pt>
                <c:pt idx="9">
                  <c:v>Goa Tribal Festival</c:v>
                </c:pt>
              </c:strCache>
            </c:strRef>
          </c:cat>
          <c:val>
            <c:numRef>
              <c:f>Stage3_Q3!$D$2:$D$11</c:f>
              <c:numCache>
                <c:formatCode>General</c:formatCode>
                <c:ptCount val="10"/>
                <c:pt idx="0">
                  <c:v>6282.6</c:v>
                </c:pt>
                <c:pt idx="1">
                  <c:v>3838</c:v>
                </c:pt>
                <c:pt idx="2">
                  <c:v>2705</c:v>
                </c:pt>
                <c:pt idx="3">
                  <c:v>5086</c:v>
                </c:pt>
                <c:pt idx="4">
                  <c:v>4766.3999999999996</c:v>
                </c:pt>
                <c:pt idx="5">
                  <c:v>4468</c:v>
                </c:pt>
                <c:pt idx="6">
                  <c:v>3967.6000000000004</c:v>
                </c:pt>
                <c:pt idx="7">
                  <c:v>3518</c:v>
                </c:pt>
                <c:pt idx="8">
                  <c:v>2732.4</c:v>
                </c:pt>
                <c:pt idx="9">
                  <c:v>3078</c:v>
                </c:pt>
              </c:numCache>
            </c:numRef>
          </c:val>
          <c:extLst>
            <c:ext xmlns:c16="http://schemas.microsoft.com/office/drawing/2014/chart" uri="{C3380CC4-5D6E-409C-BE32-E72D297353CC}">
              <c16:uniqueId val="{00000000-24E9-4112-9A98-5ECB4A0D5BAB}"/>
            </c:ext>
          </c:extLst>
        </c:ser>
        <c:dLbls>
          <c:showLegendKey val="0"/>
          <c:showVal val="0"/>
          <c:showCatName val="0"/>
          <c:showSerName val="0"/>
          <c:showPercent val="0"/>
          <c:showBubbleSize val="0"/>
        </c:dLbls>
        <c:gapWidth val="219"/>
        <c:overlap val="-27"/>
        <c:axId val="1617157391"/>
        <c:axId val="1613871503"/>
      </c:barChart>
      <c:catAx>
        <c:axId val="161715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71503"/>
        <c:crosses val="autoZero"/>
        <c:auto val="1"/>
        <c:lblAlgn val="ctr"/>
        <c:lblOffset val="100"/>
        <c:noMultiLvlLbl val="0"/>
      </c:catAx>
      <c:valAx>
        <c:axId val="161387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1573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Artist Influence on Festival Attendance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Stage4_Q1!$E$1</c:f>
              <c:strCache>
                <c:ptCount val="1"/>
                <c:pt idx="0">
                  <c:v>Avg Attendance</c:v>
                </c:pt>
              </c:strCache>
            </c:strRef>
          </c:tx>
          <c:spPr>
            <a:solidFill>
              <a:schemeClr val="accent1"/>
            </a:solidFill>
            <a:ln>
              <a:noFill/>
            </a:ln>
            <a:effectLst/>
          </c:spPr>
          <c:invertIfNegative val="0"/>
          <c:cat>
            <c:strRef>
              <c:f>Stage4_Q1!$D$2:$D$11</c:f>
              <c:strCache>
                <c:ptCount val="10"/>
                <c:pt idx="0">
                  <c:v>Badshah</c:v>
                </c:pt>
                <c:pt idx="1">
                  <c:v>Honey Singh</c:v>
                </c:pt>
                <c:pt idx="2">
                  <c:v>Diljit Dosanjh</c:v>
                </c:pt>
                <c:pt idx="3">
                  <c:v>Arijit Singh</c:v>
                </c:pt>
                <c:pt idx="4">
                  <c:v>Bryan Adams</c:v>
                </c:pt>
                <c:pt idx="5">
                  <c:v>DJ Snake</c:v>
                </c:pt>
                <c:pt idx="6">
                  <c:v>Ed Sheeran</c:v>
                </c:pt>
                <c:pt idx="7">
                  <c:v>Martin Garrix</c:v>
                </c:pt>
                <c:pt idx="8">
                  <c:v>Mika Singh</c:v>
                </c:pt>
                <c:pt idx="9">
                  <c:v>Shreya Ghoshal</c:v>
                </c:pt>
              </c:strCache>
            </c:strRef>
          </c:cat>
          <c:val>
            <c:numRef>
              <c:f>Stage4_Q1!$E$2:$E$11</c:f>
              <c:numCache>
                <c:formatCode>General</c:formatCode>
                <c:ptCount val="10"/>
                <c:pt idx="0">
                  <c:v>36448</c:v>
                </c:pt>
                <c:pt idx="1">
                  <c:v>35223</c:v>
                </c:pt>
                <c:pt idx="2">
                  <c:v>33738</c:v>
                </c:pt>
                <c:pt idx="3">
                  <c:v>25729</c:v>
                </c:pt>
                <c:pt idx="4">
                  <c:v>21632.555560000001</c:v>
                </c:pt>
                <c:pt idx="5">
                  <c:v>19089</c:v>
                </c:pt>
                <c:pt idx="6">
                  <c:v>18609</c:v>
                </c:pt>
                <c:pt idx="7">
                  <c:v>11603</c:v>
                </c:pt>
                <c:pt idx="8">
                  <c:v>11057</c:v>
                </c:pt>
                <c:pt idx="9">
                  <c:v>3197</c:v>
                </c:pt>
              </c:numCache>
            </c:numRef>
          </c:val>
          <c:extLst>
            <c:ext xmlns:c16="http://schemas.microsoft.com/office/drawing/2014/chart" uri="{C3380CC4-5D6E-409C-BE32-E72D297353CC}">
              <c16:uniqueId val="{00000000-5D18-42E0-81DD-ABFA6DF48B58}"/>
            </c:ext>
          </c:extLst>
        </c:ser>
        <c:dLbls>
          <c:showLegendKey val="0"/>
          <c:showVal val="0"/>
          <c:showCatName val="0"/>
          <c:showSerName val="0"/>
          <c:showPercent val="0"/>
          <c:showBubbleSize val="0"/>
        </c:dLbls>
        <c:gapWidth val="219"/>
        <c:overlap val="-27"/>
        <c:axId val="1619299663"/>
        <c:axId val="1613871983"/>
      </c:barChart>
      <c:catAx>
        <c:axId val="161929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71983"/>
        <c:crosses val="autoZero"/>
        <c:auto val="1"/>
        <c:lblAlgn val="ctr"/>
        <c:lblOffset val="100"/>
        <c:noMultiLvlLbl val="0"/>
      </c:catAx>
      <c:valAx>
        <c:axId val="161387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2996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Music Genres in Festival Market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Stage4_Q2!$B$1</c:f>
              <c:strCache>
                <c:ptCount val="1"/>
                <c:pt idx="0">
                  <c:v>Artist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Stage4_Q2!$A$2:$A$8</c:f>
              <c:strCache>
                <c:ptCount val="7"/>
                <c:pt idx="0">
                  <c:v>Punjabi</c:v>
                </c:pt>
                <c:pt idx="1">
                  <c:v>Hip-Hop</c:v>
                </c:pt>
                <c:pt idx="2">
                  <c:v>Bollywood</c:v>
                </c:pt>
                <c:pt idx="3">
                  <c:v>International Pop</c:v>
                </c:pt>
                <c:pt idx="4">
                  <c:v>Rock</c:v>
                </c:pt>
                <c:pt idx="5">
                  <c:v>EDM</c:v>
                </c:pt>
                <c:pt idx="6">
                  <c:v>Classical/Bollywood</c:v>
                </c:pt>
              </c:strCache>
            </c:strRef>
          </c:cat>
          <c:val>
            <c:numRef>
              <c:f>Stage4_Q2!$B$2:$B$8</c:f>
              <c:numCache>
                <c:formatCode>General</c:formatCode>
                <c:ptCount val="7"/>
                <c:pt idx="0">
                  <c:v>1</c:v>
                </c:pt>
                <c:pt idx="1">
                  <c:v>1</c:v>
                </c:pt>
                <c:pt idx="2">
                  <c:v>3</c:v>
                </c:pt>
                <c:pt idx="3">
                  <c:v>1</c:v>
                </c:pt>
                <c:pt idx="4">
                  <c:v>1</c:v>
                </c:pt>
                <c:pt idx="5">
                  <c:v>2</c:v>
                </c:pt>
                <c:pt idx="6">
                  <c:v>1</c:v>
                </c:pt>
              </c:numCache>
            </c:numRef>
          </c:val>
          <c:extLst>
            <c:ext xmlns:c16="http://schemas.microsoft.com/office/drawing/2014/chart" uri="{C3380CC4-5D6E-409C-BE32-E72D297353CC}">
              <c16:uniqueId val="{00000000-9002-44E1-A20A-99B5AD5D21AE}"/>
            </c:ext>
          </c:extLst>
        </c:ser>
        <c:dLbls>
          <c:showLegendKey val="0"/>
          <c:showVal val="0"/>
          <c:showCatName val="0"/>
          <c:showSerName val="0"/>
          <c:showPercent val="0"/>
          <c:showBubbleSize val="0"/>
        </c:dLbls>
        <c:gapWidth val="115"/>
        <c:overlap val="-20"/>
        <c:axId val="1694663631"/>
        <c:axId val="1613783663"/>
      </c:barChart>
      <c:catAx>
        <c:axId val="16946636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783663"/>
        <c:crosses val="autoZero"/>
        <c:auto val="1"/>
        <c:lblAlgn val="ctr"/>
        <c:lblOffset val="100"/>
        <c:noMultiLvlLbl val="0"/>
      </c:catAx>
      <c:valAx>
        <c:axId val="1613783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663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Local vs International Artist Attendance</a:t>
            </a:r>
            <a:endParaRPr lang="en-US"/>
          </a:p>
        </c:rich>
      </c:tx>
      <c:layout>
        <c:manualLayout>
          <c:xMode val="edge"/>
          <c:yMode val="edge"/>
          <c:x val="0.13170033346718579"/>
          <c:y val="2.83018867924528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Stage4_Q3!$J$1</c:f>
              <c:strCache>
                <c:ptCount val="1"/>
                <c:pt idx="0">
                  <c:v>Average Attendance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Stage4_Q3!$I$2:$I$3</c:f>
              <c:strCache>
                <c:ptCount val="2"/>
                <c:pt idx="0">
                  <c:v>Local</c:v>
                </c:pt>
                <c:pt idx="1">
                  <c:v>International</c:v>
                </c:pt>
              </c:strCache>
            </c:strRef>
          </c:cat>
          <c:val>
            <c:numRef>
              <c:f>Stage4_Q3!$J$2:$J$3</c:f>
              <c:numCache>
                <c:formatCode>General</c:formatCode>
                <c:ptCount val="2"/>
                <c:pt idx="0">
                  <c:v>24232</c:v>
                </c:pt>
                <c:pt idx="1">
                  <c:v>17733.388890000002</c:v>
                </c:pt>
              </c:numCache>
            </c:numRef>
          </c:val>
          <c:extLst>
            <c:ext xmlns:c16="http://schemas.microsoft.com/office/drawing/2014/chart" uri="{C3380CC4-5D6E-409C-BE32-E72D297353CC}">
              <c16:uniqueId val="{00000000-5DF0-4292-B105-7AD05F360587}"/>
            </c:ext>
          </c:extLst>
        </c:ser>
        <c:dLbls>
          <c:showLegendKey val="0"/>
          <c:showVal val="0"/>
          <c:showCatName val="0"/>
          <c:showSerName val="0"/>
          <c:showPercent val="0"/>
          <c:showBubbleSize val="0"/>
        </c:dLbls>
        <c:gapWidth val="115"/>
        <c:overlap val="-20"/>
        <c:axId val="1696203807"/>
        <c:axId val="1613852303"/>
      </c:barChart>
      <c:catAx>
        <c:axId val="16962038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52303"/>
        <c:crosses val="autoZero"/>
        <c:auto val="1"/>
        <c:lblAlgn val="ctr"/>
        <c:lblOffset val="100"/>
        <c:noMultiLvlLbl val="0"/>
      </c:catAx>
      <c:valAx>
        <c:axId val="1613852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2038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Local vs International Revenue Proxy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Stage4_Q3!$K$1</c:f>
              <c:strCache>
                <c:ptCount val="1"/>
                <c:pt idx="0">
                  <c:v>Total Revenue Proxy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Stage4_Q3!$I$2:$I$3</c:f>
              <c:strCache>
                <c:ptCount val="2"/>
                <c:pt idx="0">
                  <c:v>Local</c:v>
                </c:pt>
                <c:pt idx="1">
                  <c:v>International</c:v>
                </c:pt>
              </c:strCache>
            </c:strRef>
          </c:cat>
          <c:val>
            <c:numRef>
              <c:f>Stage4_Q3!$K$2:$K$3</c:f>
              <c:numCache>
                <c:formatCode>General</c:formatCode>
                <c:ptCount val="2"/>
                <c:pt idx="0">
                  <c:v>426028651</c:v>
                </c:pt>
                <c:pt idx="1">
                  <c:v>171903977.11552</c:v>
                </c:pt>
              </c:numCache>
            </c:numRef>
          </c:val>
          <c:extLst>
            <c:ext xmlns:c16="http://schemas.microsoft.com/office/drawing/2014/chart" uri="{C3380CC4-5D6E-409C-BE32-E72D297353CC}">
              <c16:uniqueId val="{00000000-8626-47A6-9156-5F60A08304DA}"/>
            </c:ext>
          </c:extLst>
        </c:ser>
        <c:dLbls>
          <c:showLegendKey val="0"/>
          <c:showVal val="0"/>
          <c:showCatName val="0"/>
          <c:showSerName val="0"/>
          <c:showPercent val="0"/>
          <c:showBubbleSize val="0"/>
        </c:dLbls>
        <c:gapWidth val="115"/>
        <c:overlap val="-20"/>
        <c:axId val="634071935"/>
        <c:axId val="1613845103"/>
      </c:barChart>
      <c:catAx>
        <c:axId val="6340719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45103"/>
        <c:crosses val="autoZero"/>
        <c:auto val="1"/>
        <c:lblAlgn val="ctr"/>
        <c:lblOffset val="100"/>
        <c:noMultiLvlLbl val="0"/>
      </c:catAx>
      <c:valAx>
        <c:axId val="161384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071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Sponsorship vs Other Revenue</a:t>
            </a:r>
            <a:endParaRPr lang="en-IN"/>
          </a:p>
        </c:rich>
      </c:tx>
      <c:layout>
        <c:manualLayout>
          <c:xMode val="edge"/>
          <c:yMode val="edge"/>
          <c:x val="0.27592186781909595"/>
          <c:y val="1.84444435569165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6338485996682359"/>
          <c:y val="0.20097000345288699"/>
          <c:w val="0.40401469860173927"/>
          <c:h val="0.74369666587636341"/>
        </c:manualLayout>
      </c:layout>
      <c:pieChart>
        <c:varyColors val="1"/>
        <c:ser>
          <c:idx val="0"/>
          <c:order val="0"/>
          <c:tx>
            <c:strRef>
              <c:f>Stage5_Q1!$I$4</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B2-49EB-AEE6-BF199091BF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B2-49EB-AEE6-BF199091BF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Stage5_Q1!$H$5:$H$6</c:f>
              <c:strCache>
                <c:ptCount val="2"/>
                <c:pt idx="0">
                  <c:v>Sponsorship</c:v>
                </c:pt>
                <c:pt idx="1">
                  <c:v>Other Revenue</c:v>
                </c:pt>
              </c:strCache>
            </c:strRef>
          </c:cat>
          <c:val>
            <c:numRef>
              <c:f>Stage5_Q1!$I$5:$I$6</c:f>
              <c:numCache>
                <c:formatCode>General</c:formatCode>
                <c:ptCount val="2"/>
                <c:pt idx="0">
                  <c:v>305330155</c:v>
                </c:pt>
                <c:pt idx="1">
                  <c:v>6630399483</c:v>
                </c:pt>
              </c:numCache>
            </c:numRef>
          </c:val>
          <c:extLst>
            <c:ext xmlns:c16="http://schemas.microsoft.com/office/drawing/2014/chart" uri="{C3380CC4-5D6E-409C-BE32-E72D297353CC}">
              <c16:uniqueId val="{00000000-2227-4F38-98CD-E3D4A3431F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Average Sponsorship Revenue by Ticket Price Category</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Stage5_Q2!$G$1</c:f>
              <c:strCache>
                <c:ptCount val="1"/>
                <c:pt idx="0">
                  <c:v>Avg Sponsorship Revenue</c:v>
                </c:pt>
              </c:strCache>
            </c:strRef>
          </c:tx>
          <c:spPr>
            <a:solidFill>
              <a:schemeClr val="accent1"/>
            </a:solidFill>
            <a:ln>
              <a:noFill/>
            </a:ln>
            <a:effectLst/>
          </c:spPr>
          <c:invertIfNegative val="0"/>
          <c:cat>
            <c:strRef>
              <c:f>Stage5_Q2!$F$2:$F$5</c:f>
              <c:strCache>
                <c:ptCount val="4"/>
                <c:pt idx="0">
                  <c:v>₹1,501-3,000</c:v>
                </c:pt>
                <c:pt idx="1">
                  <c:v>₹3,001-4,500</c:v>
                </c:pt>
                <c:pt idx="2">
                  <c:v>₹4,500+</c:v>
                </c:pt>
                <c:pt idx="3">
                  <c:v>₹0-1,500</c:v>
                </c:pt>
              </c:strCache>
            </c:strRef>
          </c:cat>
          <c:val>
            <c:numRef>
              <c:f>Stage5_Q2!$G$2:$G$5</c:f>
              <c:numCache>
                <c:formatCode>0.00</c:formatCode>
                <c:ptCount val="4"/>
                <c:pt idx="0">
                  <c:v>3321161.5945945946</c:v>
                </c:pt>
                <c:pt idx="1">
                  <c:v>3180091.1612903224</c:v>
                </c:pt>
                <c:pt idx="2">
                  <c:v>2894398.4</c:v>
                </c:pt>
                <c:pt idx="3">
                  <c:v>2379316.1176470588</c:v>
                </c:pt>
              </c:numCache>
            </c:numRef>
          </c:val>
          <c:extLst>
            <c:ext xmlns:c16="http://schemas.microsoft.com/office/drawing/2014/chart" uri="{C3380CC4-5D6E-409C-BE32-E72D297353CC}">
              <c16:uniqueId val="{00000000-AB20-457C-BC29-F2B270A93B01}"/>
            </c:ext>
          </c:extLst>
        </c:ser>
        <c:dLbls>
          <c:showLegendKey val="0"/>
          <c:showVal val="0"/>
          <c:showCatName val="0"/>
          <c:showSerName val="0"/>
          <c:showPercent val="0"/>
          <c:showBubbleSize val="0"/>
        </c:dLbls>
        <c:gapWidth val="182"/>
        <c:axId val="1484606431"/>
        <c:axId val="1486006703"/>
      </c:barChart>
      <c:catAx>
        <c:axId val="148460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06703"/>
        <c:crosses val="autoZero"/>
        <c:auto val="1"/>
        <c:lblAlgn val="ctr"/>
        <c:lblOffset val="100"/>
        <c:noMultiLvlLbl val="0"/>
      </c:catAx>
      <c:valAx>
        <c:axId val="148600670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4606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Merchandise Contribution by Festival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Stage5_Q3!$G$1</c:f>
              <c:strCache>
                <c:ptCount val="1"/>
                <c:pt idx="0">
                  <c:v>Merchandise Contribution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Stage5_Q3!$F$2:$F$11</c:f>
              <c:strCache>
                <c:ptCount val="10"/>
                <c:pt idx="0">
                  <c:v>Bollywood Music Project</c:v>
                </c:pt>
                <c:pt idx="1">
                  <c:v>Ziro Festival Arunachal</c:v>
                </c:pt>
                <c:pt idx="2">
                  <c:v>NH7 Pune</c:v>
                </c:pt>
                <c:pt idx="3">
                  <c:v>Magnetic Fields Rajasthan</c:v>
                </c:pt>
                <c:pt idx="4">
                  <c:v>Sunburn Goa</c:v>
                </c:pt>
                <c:pt idx="5">
                  <c:v>NH7 Pune</c:v>
                </c:pt>
                <c:pt idx="6">
                  <c:v>Bollywood Music Project</c:v>
                </c:pt>
                <c:pt idx="7">
                  <c:v>Magnetic Fields Rajasthan</c:v>
                </c:pt>
                <c:pt idx="8">
                  <c:v>Sunburn Goa</c:v>
                </c:pt>
                <c:pt idx="9">
                  <c:v>Goa Tribal Festival</c:v>
                </c:pt>
              </c:strCache>
            </c:strRef>
          </c:cat>
          <c:val>
            <c:numRef>
              <c:f>Stage5_Q3!$G$2:$G$11</c:f>
              <c:numCache>
                <c:formatCode>0.00%</c:formatCode>
                <c:ptCount val="10"/>
                <c:pt idx="0">
                  <c:v>0.38308277064507695</c:v>
                </c:pt>
                <c:pt idx="1">
                  <c:v>0.34370589855217876</c:v>
                </c:pt>
                <c:pt idx="2">
                  <c:v>0.30276247109983273</c:v>
                </c:pt>
                <c:pt idx="3">
                  <c:v>0.30083932309033667</c:v>
                </c:pt>
                <c:pt idx="4">
                  <c:v>0.29917767679470164</c:v>
                </c:pt>
                <c:pt idx="5">
                  <c:v>0.293588383301784</c:v>
                </c:pt>
                <c:pt idx="6">
                  <c:v>0.26722547342962272</c:v>
                </c:pt>
                <c:pt idx="7">
                  <c:v>0.25208279005545625</c:v>
                </c:pt>
                <c:pt idx="8">
                  <c:v>0.23965891115157134</c:v>
                </c:pt>
                <c:pt idx="9">
                  <c:v>0.20901492650963685</c:v>
                </c:pt>
              </c:numCache>
            </c:numRef>
          </c:val>
          <c:extLst>
            <c:ext xmlns:c16="http://schemas.microsoft.com/office/drawing/2014/chart" uri="{C3380CC4-5D6E-409C-BE32-E72D297353CC}">
              <c16:uniqueId val="{00000000-6152-4E81-8B7B-DC557908EBB1}"/>
            </c:ext>
          </c:extLst>
        </c:ser>
        <c:dLbls>
          <c:dLblPos val="outEnd"/>
          <c:showLegendKey val="0"/>
          <c:showVal val="1"/>
          <c:showCatName val="0"/>
          <c:showSerName val="0"/>
          <c:showPercent val="0"/>
          <c:showBubbleSize val="0"/>
        </c:dLbls>
        <c:gapWidth val="115"/>
        <c:overlap val="-20"/>
        <c:axId val="1577008959"/>
        <c:axId val="1486001903"/>
      </c:barChart>
      <c:catAx>
        <c:axId val="15770089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001903"/>
        <c:crosses val="autoZero"/>
        <c:auto val="1"/>
        <c:lblAlgn val="ctr"/>
        <c:lblOffset val="100"/>
        <c:noMultiLvlLbl val="0"/>
      </c:catAx>
      <c:valAx>
        <c:axId val="148600190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0089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[Music_Festival_Analysis.xlsx]Stage6_Q1!PivotTable5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City-wise Genre Attendance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Stage6_Q1!$G$2:$G$3</c:f>
              <c:strCache>
                <c:ptCount val="1"/>
                <c:pt idx="0">
                  <c:v>Bollywood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Stage6_Q1!$F$4:$F$14</c:f>
              <c:strCache>
                <c:ptCount val="10"/>
                <c:pt idx="0">
                  <c:v>Amritsar</c:v>
                </c:pt>
                <c:pt idx="1">
                  <c:v>Bengaluru</c:v>
                </c:pt>
                <c:pt idx="2">
                  <c:v>Chandigarh</c:v>
                </c:pt>
                <c:pt idx="3">
                  <c:v>Delhi</c:v>
                </c:pt>
                <c:pt idx="4">
                  <c:v>Goa</c:v>
                </c:pt>
                <c:pt idx="5">
                  <c:v>Jaipur</c:v>
                </c:pt>
                <c:pt idx="6">
                  <c:v>Kolkata</c:v>
                </c:pt>
                <c:pt idx="7">
                  <c:v>Mumbai</c:v>
                </c:pt>
                <c:pt idx="8">
                  <c:v>Nagpur</c:v>
                </c:pt>
                <c:pt idx="9">
                  <c:v>Pune</c:v>
                </c:pt>
              </c:strCache>
            </c:strRef>
          </c:cat>
          <c:val>
            <c:numRef>
              <c:f>Stage6_Q1!$G$4:$G$14</c:f>
              <c:numCache>
                <c:formatCode>General</c:formatCode>
                <c:ptCount val="10"/>
                <c:pt idx="0">
                  <c:v>25243</c:v>
                </c:pt>
                <c:pt idx="1">
                  <c:v>54368</c:v>
                </c:pt>
                <c:pt idx="2">
                  <c:v>42305</c:v>
                </c:pt>
                <c:pt idx="3">
                  <c:v>60323</c:v>
                </c:pt>
                <c:pt idx="4">
                  <c:v>172325</c:v>
                </c:pt>
                <c:pt idx="5">
                  <c:v>123917.6</c:v>
                </c:pt>
                <c:pt idx="6">
                  <c:v>57679</c:v>
                </c:pt>
                <c:pt idx="7">
                  <c:v>30915</c:v>
                </c:pt>
                <c:pt idx="8">
                  <c:v>125387.01</c:v>
                </c:pt>
                <c:pt idx="9">
                  <c:v>40702</c:v>
                </c:pt>
              </c:numCache>
            </c:numRef>
          </c:val>
          <c:extLst>
            <c:ext xmlns:c16="http://schemas.microsoft.com/office/drawing/2014/chart" uri="{C3380CC4-5D6E-409C-BE32-E72D297353CC}">
              <c16:uniqueId val="{00000000-4FF9-4DC9-8239-FE7540790E24}"/>
            </c:ext>
          </c:extLst>
        </c:ser>
        <c:ser>
          <c:idx val="1"/>
          <c:order val="1"/>
          <c:tx>
            <c:strRef>
              <c:f>Stage6_Q1!$H$2:$H$3</c:f>
              <c:strCache>
                <c:ptCount val="1"/>
                <c:pt idx="0">
                  <c:v>Classical/Bollywood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Stage6_Q1!$F$4:$F$14</c:f>
              <c:strCache>
                <c:ptCount val="10"/>
                <c:pt idx="0">
                  <c:v>Amritsar</c:v>
                </c:pt>
                <c:pt idx="1">
                  <c:v>Bengaluru</c:v>
                </c:pt>
                <c:pt idx="2">
                  <c:v>Chandigarh</c:v>
                </c:pt>
                <c:pt idx="3">
                  <c:v>Delhi</c:v>
                </c:pt>
                <c:pt idx="4">
                  <c:v>Goa</c:v>
                </c:pt>
                <c:pt idx="5">
                  <c:v>Jaipur</c:v>
                </c:pt>
                <c:pt idx="6">
                  <c:v>Kolkata</c:v>
                </c:pt>
                <c:pt idx="7">
                  <c:v>Mumbai</c:v>
                </c:pt>
                <c:pt idx="8">
                  <c:v>Nagpur</c:v>
                </c:pt>
                <c:pt idx="9">
                  <c:v>Pune</c:v>
                </c:pt>
              </c:strCache>
            </c:strRef>
          </c:cat>
          <c:val>
            <c:numRef>
              <c:f>Stage6_Q1!$H$4:$H$14</c:f>
              <c:numCache>
                <c:formatCode>General</c:formatCode>
                <c:ptCount val="10"/>
                <c:pt idx="0">
                  <c:v>20603</c:v>
                </c:pt>
                <c:pt idx="1">
                  <c:v>8214</c:v>
                </c:pt>
                <c:pt idx="2">
                  <c:v>35304</c:v>
                </c:pt>
                <c:pt idx="3">
                  <c:v>58365.009999999995</c:v>
                </c:pt>
                <c:pt idx="4">
                  <c:v>45270.009999999995</c:v>
                </c:pt>
                <c:pt idx="5">
                  <c:v>31020</c:v>
                </c:pt>
                <c:pt idx="9">
                  <c:v>11366.6</c:v>
                </c:pt>
              </c:numCache>
            </c:numRef>
          </c:val>
          <c:extLst>
            <c:ext xmlns:c16="http://schemas.microsoft.com/office/drawing/2014/chart" uri="{C3380CC4-5D6E-409C-BE32-E72D297353CC}">
              <c16:uniqueId val="{00000001-4FF9-4DC9-8239-FE7540790E24}"/>
            </c:ext>
          </c:extLst>
        </c:ser>
        <c:ser>
          <c:idx val="2"/>
          <c:order val="2"/>
          <c:tx>
            <c:strRef>
              <c:f>Stage6_Q1!$I$2:$I$3</c:f>
              <c:strCache>
                <c:ptCount val="1"/>
                <c:pt idx="0">
                  <c:v>EDM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Stage6_Q1!$F$4:$F$14</c:f>
              <c:strCache>
                <c:ptCount val="10"/>
                <c:pt idx="0">
                  <c:v>Amritsar</c:v>
                </c:pt>
                <c:pt idx="1">
                  <c:v>Bengaluru</c:v>
                </c:pt>
                <c:pt idx="2">
                  <c:v>Chandigarh</c:v>
                </c:pt>
                <c:pt idx="3">
                  <c:v>Delhi</c:v>
                </c:pt>
                <c:pt idx="4">
                  <c:v>Goa</c:v>
                </c:pt>
                <c:pt idx="5">
                  <c:v>Jaipur</c:v>
                </c:pt>
                <c:pt idx="6">
                  <c:v>Kolkata</c:v>
                </c:pt>
                <c:pt idx="7">
                  <c:v>Mumbai</c:v>
                </c:pt>
                <c:pt idx="8">
                  <c:v>Nagpur</c:v>
                </c:pt>
                <c:pt idx="9">
                  <c:v>Pune</c:v>
                </c:pt>
              </c:strCache>
            </c:strRef>
          </c:cat>
          <c:val>
            <c:numRef>
              <c:f>Stage6_Q1!$I$4:$I$14</c:f>
              <c:numCache>
                <c:formatCode>General</c:formatCode>
                <c:ptCount val="10"/>
                <c:pt idx="1">
                  <c:v>31745</c:v>
                </c:pt>
                <c:pt idx="2">
                  <c:v>23590</c:v>
                </c:pt>
                <c:pt idx="3">
                  <c:v>17172</c:v>
                </c:pt>
                <c:pt idx="4">
                  <c:v>34524</c:v>
                </c:pt>
                <c:pt idx="5">
                  <c:v>80922</c:v>
                </c:pt>
                <c:pt idx="7">
                  <c:v>19867</c:v>
                </c:pt>
                <c:pt idx="8">
                  <c:v>36250.009999999995</c:v>
                </c:pt>
                <c:pt idx="9">
                  <c:v>40916</c:v>
                </c:pt>
              </c:numCache>
            </c:numRef>
          </c:val>
          <c:extLst>
            <c:ext xmlns:c16="http://schemas.microsoft.com/office/drawing/2014/chart" uri="{C3380CC4-5D6E-409C-BE32-E72D297353CC}">
              <c16:uniqueId val="{00000002-4FF9-4DC9-8239-FE7540790E24}"/>
            </c:ext>
          </c:extLst>
        </c:ser>
        <c:ser>
          <c:idx val="3"/>
          <c:order val="3"/>
          <c:tx>
            <c:strRef>
              <c:f>Stage6_Q1!$J$2:$J$3</c:f>
              <c:strCache>
                <c:ptCount val="1"/>
                <c:pt idx="0">
                  <c:v>Hip-Hop</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Stage6_Q1!$F$4:$F$14</c:f>
              <c:strCache>
                <c:ptCount val="10"/>
                <c:pt idx="0">
                  <c:v>Amritsar</c:v>
                </c:pt>
                <c:pt idx="1">
                  <c:v>Bengaluru</c:v>
                </c:pt>
                <c:pt idx="2">
                  <c:v>Chandigarh</c:v>
                </c:pt>
                <c:pt idx="3">
                  <c:v>Delhi</c:v>
                </c:pt>
                <c:pt idx="4">
                  <c:v>Goa</c:v>
                </c:pt>
                <c:pt idx="5">
                  <c:v>Jaipur</c:v>
                </c:pt>
                <c:pt idx="6">
                  <c:v>Kolkata</c:v>
                </c:pt>
                <c:pt idx="7">
                  <c:v>Mumbai</c:v>
                </c:pt>
                <c:pt idx="8">
                  <c:v>Nagpur</c:v>
                </c:pt>
                <c:pt idx="9">
                  <c:v>Pune</c:v>
                </c:pt>
              </c:strCache>
            </c:strRef>
          </c:cat>
          <c:val>
            <c:numRef>
              <c:f>Stage6_Q1!$J$4:$J$14</c:f>
              <c:numCache>
                <c:formatCode>General</c:formatCode>
                <c:ptCount val="10"/>
                <c:pt idx="0">
                  <c:v>9316</c:v>
                </c:pt>
                <c:pt idx="1">
                  <c:v>16737</c:v>
                </c:pt>
                <c:pt idx="2">
                  <c:v>13994</c:v>
                </c:pt>
                <c:pt idx="3">
                  <c:v>40643</c:v>
                </c:pt>
                <c:pt idx="4">
                  <c:v>24248</c:v>
                </c:pt>
                <c:pt idx="5">
                  <c:v>13539</c:v>
                </c:pt>
                <c:pt idx="6">
                  <c:v>32354</c:v>
                </c:pt>
                <c:pt idx="8">
                  <c:v>67224</c:v>
                </c:pt>
                <c:pt idx="9">
                  <c:v>32900</c:v>
                </c:pt>
              </c:numCache>
            </c:numRef>
          </c:val>
          <c:extLst>
            <c:ext xmlns:c16="http://schemas.microsoft.com/office/drawing/2014/chart" uri="{C3380CC4-5D6E-409C-BE32-E72D297353CC}">
              <c16:uniqueId val="{00000003-4FF9-4DC9-8239-FE7540790E24}"/>
            </c:ext>
          </c:extLst>
        </c:ser>
        <c:ser>
          <c:idx val="4"/>
          <c:order val="4"/>
          <c:tx>
            <c:strRef>
              <c:f>Stage6_Q1!$K$2:$K$3</c:f>
              <c:strCache>
                <c:ptCount val="1"/>
                <c:pt idx="0">
                  <c:v>International Pop</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Stage6_Q1!$F$4:$F$14</c:f>
              <c:strCache>
                <c:ptCount val="10"/>
                <c:pt idx="0">
                  <c:v>Amritsar</c:v>
                </c:pt>
                <c:pt idx="1">
                  <c:v>Bengaluru</c:v>
                </c:pt>
                <c:pt idx="2">
                  <c:v>Chandigarh</c:v>
                </c:pt>
                <c:pt idx="3">
                  <c:v>Delhi</c:v>
                </c:pt>
                <c:pt idx="4">
                  <c:v>Goa</c:v>
                </c:pt>
                <c:pt idx="5">
                  <c:v>Jaipur</c:v>
                </c:pt>
                <c:pt idx="6">
                  <c:v>Kolkata</c:v>
                </c:pt>
                <c:pt idx="7">
                  <c:v>Mumbai</c:v>
                </c:pt>
                <c:pt idx="8">
                  <c:v>Nagpur</c:v>
                </c:pt>
                <c:pt idx="9">
                  <c:v>Pune</c:v>
                </c:pt>
              </c:strCache>
            </c:strRef>
          </c:cat>
          <c:val>
            <c:numRef>
              <c:f>Stage6_Q1!$K$4:$K$14</c:f>
              <c:numCache>
                <c:formatCode>General</c:formatCode>
                <c:ptCount val="10"/>
                <c:pt idx="0">
                  <c:v>21248.01</c:v>
                </c:pt>
                <c:pt idx="1">
                  <c:v>14283</c:v>
                </c:pt>
                <c:pt idx="2">
                  <c:v>6000</c:v>
                </c:pt>
                <c:pt idx="8">
                  <c:v>46028</c:v>
                </c:pt>
                <c:pt idx="9">
                  <c:v>11790</c:v>
                </c:pt>
              </c:numCache>
            </c:numRef>
          </c:val>
          <c:extLst>
            <c:ext xmlns:c16="http://schemas.microsoft.com/office/drawing/2014/chart" uri="{C3380CC4-5D6E-409C-BE32-E72D297353CC}">
              <c16:uniqueId val="{00000004-4FF9-4DC9-8239-FE7540790E24}"/>
            </c:ext>
          </c:extLst>
        </c:ser>
        <c:ser>
          <c:idx val="5"/>
          <c:order val="5"/>
          <c:tx>
            <c:strRef>
              <c:f>Stage6_Q1!$L$2:$L$3</c:f>
              <c:strCache>
                <c:ptCount val="1"/>
                <c:pt idx="0">
                  <c:v>Punjabi</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Stage6_Q1!$F$4:$F$14</c:f>
              <c:strCache>
                <c:ptCount val="10"/>
                <c:pt idx="0">
                  <c:v>Amritsar</c:v>
                </c:pt>
                <c:pt idx="1">
                  <c:v>Bengaluru</c:v>
                </c:pt>
                <c:pt idx="2">
                  <c:v>Chandigarh</c:v>
                </c:pt>
                <c:pt idx="3">
                  <c:v>Delhi</c:v>
                </c:pt>
                <c:pt idx="4">
                  <c:v>Goa</c:v>
                </c:pt>
                <c:pt idx="5">
                  <c:v>Jaipur</c:v>
                </c:pt>
                <c:pt idx="6">
                  <c:v>Kolkata</c:v>
                </c:pt>
                <c:pt idx="7">
                  <c:v>Mumbai</c:v>
                </c:pt>
                <c:pt idx="8">
                  <c:v>Nagpur</c:v>
                </c:pt>
                <c:pt idx="9">
                  <c:v>Pune</c:v>
                </c:pt>
              </c:strCache>
            </c:strRef>
          </c:cat>
          <c:val>
            <c:numRef>
              <c:f>Stage6_Q1!$L$4:$L$14</c:f>
              <c:numCache>
                <c:formatCode>General</c:formatCode>
                <c:ptCount val="10"/>
                <c:pt idx="1">
                  <c:v>7559.5</c:v>
                </c:pt>
                <c:pt idx="2">
                  <c:v>34043.1</c:v>
                </c:pt>
                <c:pt idx="3">
                  <c:v>73143.199999999997</c:v>
                </c:pt>
                <c:pt idx="4">
                  <c:v>56160</c:v>
                </c:pt>
                <c:pt idx="5">
                  <c:v>85567.299999999988</c:v>
                </c:pt>
                <c:pt idx="6">
                  <c:v>45372.6</c:v>
                </c:pt>
                <c:pt idx="7">
                  <c:v>28345.200000000001</c:v>
                </c:pt>
                <c:pt idx="9">
                  <c:v>33241</c:v>
                </c:pt>
              </c:numCache>
            </c:numRef>
          </c:val>
          <c:extLst>
            <c:ext xmlns:c16="http://schemas.microsoft.com/office/drawing/2014/chart" uri="{C3380CC4-5D6E-409C-BE32-E72D297353CC}">
              <c16:uniqueId val="{00000005-4FF9-4DC9-8239-FE7540790E24}"/>
            </c:ext>
          </c:extLst>
        </c:ser>
        <c:ser>
          <c:idx val="6"/>
          <c:order val="6"/>
          <c:tx>
            <c:strRef>
              <c:f>Stage6_Q1!$M$2:$M$3</c:f>
              <c:strCache>
                <c:ptCount val="1"/>
                <c:pt idx="0">
                  <c:v>Rock</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Stage6_Q1!$F$4:$F$14</c:f>
              <c:strCache>
                <c:ptCount val="10"/>
                <c:pt idx="0">
                  <c:v>Amritsar</c:v>
                </c:pt>
                <c:pt idx="1">
                  <c:v>Bengaluru</c:v>
                </c:pt>
                <c:pt idx="2">
                  <c:v>Chandigarh</c:v>
                </c:pt>
                <c:pt idx="3">
                  <c:v>Delhi</c:v>
                </c:pt>
                <c:pt idx="4">
                  <c:v>Goa</c:v>
                </c:pt>
                <c:pt idx="5">
                  <c:v>Jaipur</c:v>
                </c:pt>
                <c:pt idx="6">
                  <c:v>Kolkata</c:v>
                </c:pt>
                <c:pt idx="7">
                  <c:v>Mumbai</c:v>
                </c:pt>
                <c:pt idx="8">
                  <c:v>Nagpur</c:v>
                </c:pt>
                <c:pt idx="9">
                  <c:v>Pune</c:v>
                </c:pt>
              </c:strCache>
            </c:strRef>
          </c:cat>
          <c:val>
            <c:numRef>
              <c:f>Stage6_Q1!$M$4:$M$14</c:f>
              <c:numCache>
                <c:formatCode>General</c:formatCode>
                <c:ptCount val="10"/>
                <c:pt idx="0">
                  <c:v>40269.11</c:v>
                </c:pt>
                <c:pt idx="1">
                  <c:v>17889.900000000001</c:v>
                </c:pt>
                <c:pt idx="3">
                  <c:v>30839.199999999997</c:v>
                </c:pt>
                <c:pt idx="4">
                  <c:v>49625.1</c:v>
                </c:pt>
                <c:pt idx="6">
                  <c:v>9504.6</c:v>
                </c:pt>
                <c:pt idx="8">
                  <c:v>35788.199999999997</c:v>
                </c:pt>
                <c:pt idx="9">
                  <c:v>11366.6</c:v>
                </c:pt>
              </c:numCache>
            </c:numRef>
          </c:val>
          <c:extLst>
            <c:ext xmlns:c16="http://schemas.microsoft.com/office/drawing/2014/chart" uri="{C3380CC4-5D6E-409C-BE32-E72D297353CC}">
              <c16:uniqueId val="{00000006-4FF9-4DC9-8239-FE7540790E24}"/>
            </c:ext>
          </c:extLst>
        </c:ser>
        <c:dLbls>
          <c:showLegendKey val="0"/>
          <c:showVal val="0"/>
          <c:showCatName val="0"/>
          <c:showSerName val="0"/>
          <c:showPercent val="0"/>
          <c:showBubbleSize val="0"/>
        </c:dLbls>
        <c:gapWidth val="115"/>
        <c:overlap val="-20"/>
        <c:axId val="1568666863"/>
        <c:axId val="1485910703"/>
      </c:barChart>
      <c:catAx>
        <c:axId val="156866686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10703"/>
        <c:crosses val="autoZero"/>
        <c:auto val="1"/>
        <c:lblAlgn val="ctr"/>
        <c:lblOffset val="100"/>
        <c:noMultiLvlLbl val="0"/>
      </c:catAx>
      <c:valAx>
        <c:axId val="1485910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6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per Attendee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Stage6_Q2!$D$1</c:f>
              <c:strCache>
                <c:ptCount val="1"/>
                <c:pt idx="0">
                  <c:v>Revenue Per Attendance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Stage6_Q2!$A$2:$A$11</c:f>
              <c:strCache>
                <c:ptCount val="10"/>
                <c:pt idx="0">
                  <c:v>Bengaluru</c:v>
                </c:pt>
                <c:pt idx="1">
                  <c:v>Kolkata</c:v>
                </c:pt>
                <c:pt idx="2">
                  <c:v>Pune</c:v>
                </c:pt>
                <c:pt idx="3">
                  <c:v>Nagpur</c:v>
                </c:pt>
                <c:pt idx="4">
                  <c:v>Delhi</c:v>
                </c:pt>
                <c:pt idx="5">
                  <c:v>Jaipur</c:v>
                </c:pt>
                <c:pt idx="6">
                  <c:v>Amritsar</c:v>
                </c:pt>
                <c:pt idx="7">
                  <c:v>Goa</c:v>
                </c:pt>
                <c:pt idx="8">
                  <c:v>Chandigarh</c:v>
                </c:pt>
                <c:pt idx="9">
                  <c:v>Mumbai</c:v>
                </c:pt>
              </c:strCache>
            </c:strRef>
          </c:cat>
          <c:val>
            <c:numRef>
              <c:f>Stage6_Q2!$D$2:$D$11</c:f>
              <c:numCache>
                <c:formatCode>0.00</c:formatCode>
                <c:ptCount val="10"/>
                <c:pt idx="0">
                  <c:v>4202.9293537511503</c:v>
                </c:pt>
                <c:pt idx="1">
                  <c:v>4099.1561532590522</c:v>
                </c:pt>
                <c:pt idx="2">
                  <c:v>3867.3111307631789</c:v>
                </c:pt>
                <c:pt idx="3">
                  <c:v>3405.2884566174503</c:v>
                </c:pt>
                <c:pt idx="4">
                  <c:v>3341.949960962319</c:v>
                </c:pt>
                <c:pt idx="5">
                  <c:v>3112.9799958742069</c:v>
                </c:pt>
                <c:pt idx="6">
                  <c:v>2936.8567743740268</c:v>
                </c:pt>
                <c:pt idx="7">
                  <c:v>2904.3955559999395</c:v>
                </c:pt>
                <c:pt idx="8">
                  <c:v>2193.52724656185</c:v>
                </c:pt>
                <c:pt idx="9">
                  <c:v>2171.5697257074685</c:v>
                </c:pt>
              </c:numCache>
            </c:numRef>
          </c:val>
          <c:extLst>
            <c:ext xmlns:c16="http://schemas.microsoft.com/office/drawing/2014/chart" uri="{C3380CC4-5D6E-409C-BE32-E72D297353CC}">
              <c16:uniqueId val="{00000000-BB3D-4DC1-BAE0-F5F088625049}"/>
            </c:ext>
          </c:extLst>
        </c:ser>
        <c:dLbls>
          <c:dLblPos val="outEnd"/>
          <c:showLegendKey val="0"/>
          <c:showVal val="0"/>
          <c:showCatName val="0"/>
          <c:showSerName val="0"/>
          <c:showPercent val="0"/>
          <c:showBubbleSize val="0"/>
        </c:dLbls>
        <c:gapWidth val="115"/>
        <c:overlap val="-20"/>
        <c:axId val="1861148064"/>
        <c:axId val="1854044496"/>
      </c:barChart>
      <c:catAx>
        <c:axId val="18611480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044496"/>
        <c:crosses val="autoZero"/>
        <c:auto val="1"/>
        <c:lblAlgn val="ctr"/>
        <c:lblOffset val="100"/>
        <c:noMultiLvlLbl val="0"/>
      </c:catAx>
      <c:valAx>
        <c:axId val="18540444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148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7</xdr:col>
      <xdr:colOff>0</xdr:colOff>
      <xdr:row>4</xdr:row>
      <xdr:rowOff>3810</xdr:rowOff>
    </xdr:from>
    <xdr:to>
      <xdr:col>14</xdr:col>
      <xdr:colOff>137160</xdr:colOff>
      <xdr:row>19</xdr:row>
      <xdr:rowOff>3810</xdr:rowOff>
    </xdr:to>
    <xdr:graphicFrame macro="">
      <xdr:nvGraphicFramePr>
        <xdr:cNvPr id="2" name="Chart 1">
          <a:extLst>
            <a:ext uri="{FF2B5EF4-FFF2-40B4-BE49-F238E27FC236}">
              <a16:creationId xmlns:a16="http://schemas.microsoft.com/office/drawing/2014/main" id="{7C7407F6-B65A-748A-E02D-0814940A6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9180</xdr:colOff>
      <xdr:row>20</xdr:row>
      <xdr:rowOff>9181</xdr:rowOff>
    </xdr:from>
    <xdr:to>
      <xdr:col>18</xdr:col>
      <xdr:colOff>9548</xdr:colOff>
      <xdr:row>25</xdr:row>
      <xdr:rowOff>17535</xdr:rowOff>
    </xdr:to>
    <xdr:sp macro="" textlink="">
      <xdr:nvSpPr>
        <xdr:cNvPr id="4" name="Rectangle: Rounded Corners 3">
          <a:extLst>
            <a:ext uri="{FF2B5EF4-FFF2-40B4-BE49-F238E27FC236}">
              <a16:creationId xmlns:a16="http://schemas.microsoft.com/office/drawing/2014/main" id="{7DBEF89B-E239-456F-BA5D-7C88A984CD27}"/>
            </a:ext>
          </a:extLst>
        </xdr:cNvPr>
        <xdr:cNvSpPr/>
      </xdr:nvSpPr>
      <xdr:spPr>
        <a:xfrm>
          <a:off x="5379903" y="3681470"/>
          <a:ext cx="6840006" cy="926426"/>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rPr>
            <a:t>INSIGHTS:</a:t>
          </a:r>
        </a:p>
        <a:p>
          <a:pPr algn="l"/>
          <a:r>
            <a:rPr lang="en-IN" sz="1400" b="1">
              <a:solidFill>
                <a:schemeClr val="tx1">
                  <a:lumMod val="85000"/>
                  <a:lumOff val="15000"/>
                </a:schemeClr>
              </a:solidFill>
              <a:latin typeface="+mn-lt"/>
              <a:ea typeface="+mn-ea"/>
              <a:cs typeface="+mn-cs"/>
            </a:rPr>
            <a:t>August </a:t>
          </a:r>
          <a:r>
            <a:rPr lang="en-IN" sz="1400">
              <a:solidFill>
                <a:schemeClr val="tx1">
                  <a:lumMod val="85000"/>
                  <a:lumOff val="15000"/>
                </a:schemeClr>
              </a:solidFill>
              <a:latin typeface="+mn-lt"/>
              <a:ea typeface="+mn-ea"/>
              <a:cs typeface="+mn-cs"/>
            </a:rPr>
            <a:t>is the peak festival month, with the highest total attendance </a:t>
          </a:r>
          <a:r>
            <a:rPr lang="en-IN" sz="1400" b="1">
              <a:solidFill>
                <a:schemeClr val="tx1">
                  <a:lumMod val="85000"/>
                  <a:lumOff val="15000"/>
                </a:schemeClr>
              </a:solidFill>
              <a:latin typeface="+mn-lt"/>
              <a:ea typeface="+mn-ea"/>
              <a:cs typeface="+mn-cs"/>
            </a:rPr>
            <a:t>of 288,400.9 </a:t>
          </a:r>
          <a:r>
            <a:rPr lang="en-IN" sz="1400">
              <a:solidFill>
                <a:schemeClr val="tx1">
                  <a:lumMod val="85000"/>
                  <a:lumOff val="15000"/>
                </a:schemeClr>
              </a:solidFill>
              <a:latin typeface="+mn-lt"/>
              <a:ea typeface="+mn-ea"/>
              <a:cs typeface="+mn-cs"/>
            </a:rPr>
            <a:t>across </a:t>
          </a:r>
          <a:r>
            <a:rPr lang="en-IN" sz="1400" b="1">
              <a:solidFill>
                <a:schemeClr val="tx1">
                  <a:lumMod val="85000"/>
                  <a:lumOff val="15000"/>
                </a:schemeClr>
              </a:solidFill>
              <a:latin typeface="+mn-lt"/>
              <a:ea typeface="+mn-ea"/>
              <a:cs typeface="+mn-cs"/>
            </a:rPr>
            <a:t>12 festivals</a:t>
          </a:r>
          <a:r>
            <a:rPr lang="en-IN" sz="1400">
              <a:solidFill>
                <a:schemeClr val="tx1">
                  <a:lumMod val="85000"/>
                  <a:lumOff val="15000"/>
                </a:schemeClr>
              </a:solidFill>
              <a:latin typeface="+mn-lt"/>
              <a:ea typeface="+mn-ea"/>
              <a:cs typeface="+mn-cs"/>
            </a:rPr>
            <a:t>.</a:t>
          </a:r>
          <a:endParaRPr lang="en-IN" sz="1400" b="1">
            <a:solidFill>
              <a:schemeClr val="tx1">
                <a:lumMod val="85000"/>
                <a:lumOff val="15000"/>
              </a:schemeClr>
            </a:solidFill>
          </a:endParaRPr>
        </a:p>
      </xdr:txBody>
    </xdr:sp>
    <xdr:clientData/>
  </xdr:twoCellAnchor>
  <xdr:twoCellAnchor>
    <xdr:from>
      <xdr:col>7</xdr:col>
      <xdr:colOff>27541</xdr:colOff>
      <xdr:row>25</xdr:row>
      <xdr:rowOff>128531</xdr:rowOff>
    </xdr:from>
    <xdr:to>
      <xdr:col>18</xdr:col>
      <xdr:colOff>9181</xdr:colOff>
      <xdr:row>31</xdr:row>
      <xdr:rowOff>55086</xdr:rowOff>
    </xdr:to>
    <xdr:sp macro="" textlink="">
      <xdr:nvSpPr>
        <xdr:cNvPr id="6" name="Rectangle: Rounded Corners 5">
          <a:extLst>
            <a:ext uri="{FF2B5EF4-FFF2-40B4-BE49-F238E27FC236}">
              <a16:creationId xmlns:a16="http://schemas.microsoft.com/office/drawing/2014/main" id="{6656D696-B9C8-48CC-BBAC-DFAA9565E947}"/>
            </a:ext>
          </a:extLst>
        </xdr:cNvPr>
        <xdr:cNvSpPr/>
      </xdr:nvSpPr>
      <xdr:spPr>
        <a:xfrm>
          <a:off x="5398264" y="4718892"/>
          <a:ext cx="6821278" cy="1028242"/>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600" b="1">
              <a:solidFill>
                <a:schemeClr val="accent1">
                  <a:lumMod val="75000"/>
                </a:schemeClr>
              </a:solidFill>
            </a:rPr>
            <a:t>Recommendation:</a:t>
          </a:r>
        </a:p>
        <a:p>
          <a:pPr marL="0" marR="0" lvl="0" indent="0" algn="l" defTabSz="914400" rtl="0" eaLnBrk="1" fontAlgn="auto" latinLnBrk="0" hangingPunct="1">
            <a:lnSpc>
              <a:spcPct val="100000"/>
            </a:lnSpc>
            <a:spcBef>
              <a:spcPts val="0"/>
            </a:spcBef>
            <a:spcAft>
              <a:spcPts val="0"/>
            </a:spcAft>
            <a:buClrTx/>
            <a:buSzTx/>
            <a:buFontTx/>
            <a:buNone/>
            <a:tabLst/>
            <a:defRPr/>
          </a:pPr>
          <a:r>
            <a:rPr lang="en-IN" sz="1200" b="0">
              <a:solidFill>
                <a:schemeClr val="tx1"/>
              </a:solidFill>
            </a:rPr>
            <a:t>Organizers should prioritize major festival events and marketing activities around</a:t>
          </a:r>
          <a:r>
            <a:rPr lang="en-IN" sz="1200" b="1">
              <a:solidFill>
                <a:schemeClr val="tx1"/>
              </a:solidFill>
            </a:rPr>
            <a:t> August</a:t>
          </a:r>
          <a:r>
            <a:rPr lang="en-IN" sz="1200" b="0">
              <a:solidFill>
                <a:schemeClr val="tx1"/>
              </a:solidFill>
            </a:rPr>
            <a:t>, while ensuring sufficient venue capacity and resources to handle higher attendance.</a:t>
          </a:r>
          <a:r>
            <a:rPr lang="en-IN" sz="1200" b="0">
              <a:solidFill>
                <a:schemeClr val="tx1"/>
              </a:solidFill>
              <a:latin typeface="+mn-lt"/>
              <a:ea typeface="+mn-ea"/>
              <a:cs typeface="+mn-cs"/>
            </a:rPr>
            <a:t>can be considered stronger markets for </a:t>
          </a:r>
          <a:endParaRPr lang="en-IN" sz="1600" b="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327660</xdr:colOff>
      <xdr:row>0</xdr:row>
      <xdr:rowOff>41910</xdr:rowOff>
    </xdr:from>
    <xdr:to>
      <xdr:col>17</xdr:col>
      <xdr:colOff>22860</xdr:colOff>
      <xdr:row>15</xdr:row>
      <xdr:rowOff>41910</xdr:rowOff>
    </xdr:to>
    <xdr:graphicFrame macro="">
      <xdr:nvGraphicFramePr>
        <xdr:cNvPr id="2" name="Chart 1">
          <a:extLst>
            <a:ext uri="{FF2B5EF4-FFF2-40B4-BE49-F238E27FC236}">
              <a16:creationId xmlns:a16="http://schemas.microsoft.com/office/drawing/2014/main" id="{F77E635E-3B90-86F6-D3F5-3D23EA03E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32426</xdr:colOff>
      <xdr:row>14</xdr:row>
      <xdr:rowOff>16213</xdr:rowOff>
    </xdr:from>
    <xdr:to>
      <xdr:col>7</xdr:col>
      <xdr:colOff>640405</xdr:colOff>
      <xdr:row>19</xdr:row>
      <xdr:rowOff>28239</xdr:rowOff>
    </xdr:to>
    <xdr:sp macro="" textlink="">
      <xdr:nvSpPr>
        <xdr:cNvPr id="3" name="Rectangle: Rounded Corners 2">
          <a:extLst>
            <a:ext uri="{FF2B5EF4-FFF2-40B4-BE49-F238E27FC236}">
              <a16:creationId xmlns:a16="http://schemas.microsoft.com/office/drawing/2014/main" id="{B67E93A9-2967-4350-BAE5-CA24CCD72558}"/>
            </a:ext>
          </a:extLst>
        </xdr:cNvPr>
        <xdr:cNvSpPr/>
      </xdr:nvSpPr>
      <xdr:spPr>
        <a:xfrm>
          <a:off x="32426" y="2626468"/>
          <a:ext cx="5544766" cy="94426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rPr>
            <a:t>INSIGHTS:</a:t>
          </a:r>
        </a:p>
        <a:p>
          <a:pPr algn="l"/>
          <a:r>
            <a:rPr lang="en-IN" sz="1400" b="1">
              <a:solidFill>
                <a:schemeClr val="tx1"/>
              </a:solidFill>
            </a:rPr>
            <a:t>Goa has the highest total festival attendance (382,152.11), followed by Jaipur (334,965.90) and Nagpur (310,677.22).</a:t>
          </a:r>
        </a:p>
      </xdr:txBody>
    </xdr:sp>
    <xdr:clientData/>
  </xdr:twoCellAnchor>
  <xdr:twoCellAnchor>
    <xdr:from>
      <xdr:col>0</xdr:col>
      <xdr:colOff>23348</xdr:colOff>
      <xdr:row>19</xdr:row>
      <xdr:rowOff>114786</xdr:rowOff>
    </xdr:from>
    <xdr:to>
      <xdr:col>7</xdr:col>
      <xdr:colOff>640405</xdr:colOff>
      <xdr:row>24</xdr:row>
      <xdr:rowOff>162128</xdr:rowOff>
    </xdr:to>
    <xdr:sp macro="" textlink="">
      <xdr:nvSpPr>
        <xdr:cNvPr id="4" name="Rectangle: Rounded Corners 3">
          <a:extLst>
            <a:ext uri="{FF2B5EF4-FFF2-40B4-BE49-F238E27FC236}">
              <a16:creationId xmlns:a16="http://schemas.microsoft.com/office/drawing/2014/main" id="{B36BBF2A-B94D-4D60-A4FA-29CFDBBA3F31}"/>
            </a:ext>
          </a:extLst>
        </xdr:cNvPr>
        <xdr:cNvSpPr/>
      </xdr:nvSpPr>
      <xdr:spPr>
        <a:xfrm>
          <a:off x="23348" y="3657275"/>
          <a:ext cx="5553844" cy="979576"/>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600" b="1">
              <a:solidFill>
                <a:schemeClr val="accent1">
                  <a:lumMod val="75000"/>
                </a:schemeClr>
              </a:solidFill>
            </a:rPr>
            <a:t>Recommendation:</a:t>
          </a:r>
          <a:r>
            <a:rPr lang="en-IN" sz="1100">
              <a:solidFill>
                <a:schemeClr val="lt1"/>
              </a:solidFill>
              <a:latin typeface="+mn-lt"/>
              <a:ea typeface="+mn-ea"/>
              <a:cs typeface="+mn-cs"/>
            </a:rPr>
            <a:t>High-attendance cities can be considered stronger markets for </a:t>
          </a:r>
          <a:r>
            <a:rPr lang="en-IN" sz="1400" b="1">
              <a:solidFill>
                <a:schemeClr val="tx1"/>
              </a:solidFill>
            </a:rPr>
            <a:t>High-attendance cities can be considered stronger markets for future festival expansion.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264914</xdr:colOff>
      <xdr:row>3</xdr:row>
      <xdr:rowOff>15478</xdr:rowOff>
    </xdr:from>
    <xdr:to>
      <xdr:col>7</xdr:col>
      <xdr:colOff>41672</xdr:colOff>
      <xdr:row>15</xdr:row>
      <xdr:rowOff>17860</xdr:rowOff>
    </xdr:to>
    <xdr:graphicFrame macro="">
      <xdr:nvGraphicFramePr>
        <xdr:cNvPr id="2" name="Chart 1">
          <a:extLst>
            <a:ext uri="{FF2B5EF4-FFF2-40B4-BE49-F238E27FC236}">
              <a16:creationId xmlns:a16="http://schemas.microsoft.com/office/drawing/2014/main" id="{555BB154-A23E-3E8B-2C8F-80A1ACC15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119063</xdr:colOff>
      <xdr:row>0</xdr:row>
      <xdr:rowOff>90075</xdr:rowOff>
    </xdr:from>
    <xdr:to>
      <xdr:col>18</xdr:col>
      <xdr:colOff>35596</xdr:colOff>
      <xdr:row>5</xdr:row>
      <xdr:rowOff>61864</xdr:rowOff>
    </xdr:to>
    <xdr:sp macro="" textlink="">
      <xdr:nvSpPr>
        <xdr:cNvPr id="3" name="Rectangle: Rounded Corners 2">
          <a:extLst>
            <a:ext uri="{FF2B5EF4-FFF2-40B4-BE49-F238E27FC236}">
              <a16:creationId xmlns:a16="http://schemas.microsoft.com/office/drawing/2014/main" id="{88978BFF-E9A1-45A7-9CDA-FFDA27934AD3}"/>
            </a:ext>
          </a:extLst>
        </xdr:cNvPr>
        <xdr:cNvSpPr/>
      </xdr:nvSpPr>
      <xdr:spPr>
        <a:xfrm>
          <a:off x="6913563" y="90075"/>
          <a:ext cx="6639596" cy="884602"/>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a:t>
          </a:r>
        </a:p>
        <a:p>
          <a:pPr algn="l"/>
          <a:r>
            <a:rPr lang="en-IN" sz="1400" b="1">
              <a:solidFill>
                <a:schemeClr val="tx1"/>
              </a:solidFill>
            </a:rPr>
            <a:t>Local headliners contributed 72.9% of total attendance, while international headliners contributed 27.1%.</a:t>
          </a:r>
        </a:p>
      </xdr:txBody>
    </xdr:sp>
    <xdr:clientData/>
  </xdr:twoCellAnchor>
  <xdr:twoCellAnchor>
    <xdr:from>
      <xdr:col>7</xdr:col>
      <xdr:colOff>127000</xdr:colOff>
      <xdr:row>5</xdr:row>
      <xdr:rowOff>158750</xdr:rowOff>
    </xdr:from>
    <xdr:to>
      <xdr:col>18</xdr:col>
      <xdr:colOff>35678</xdr:colOff>
      <xdr:row>10</xdr:row>
      <xdr:rowOff>117590</xdr:rowOff>
    </xdr:to>
    <xdr:sp macro="" textlink="">
      <xdr:nvSpPr>
        <xdr:cNvPr id="4" name="Rectangle: Rounded Corners 3">
          <a:extLst>
            <a:ext uri="{FF2B5EF4-FFF2-40B4-BE49-F238E27FC236}">
              <a16:creationId xmlns:a16="http://schemas.microsoft.com/office/drawing/2014/main" id="{88132E8C-E738-4BC0-A99B-70E34D5F180B}"/>
            </a:ext>
          </a:extLst>
        </xdr:cNvPr>
        <xdr:cNvSpPr/>
      </xdr:nvSpPr>
      <xdr:spPr>
        <a:xfrm>
          <a:off x="6921500" y="1071563"/>
          <a:ext cx="6631741" cy="871652"/>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a:solidFill>
                <a:schemeClr val="accent1">
                  <a:lumMod val="75000"/>
                </a:schemeClr>
              </a:solidFill>
            </a:rPr>
            <a:t>Recommendation</a:t>
          </a:r>
          <a:r>
            <a:rPr lang="en-IN" sz="1600" b="1">
              <a:solidFill>
                <a:schemeClr val="accent1">
                  <a:lumMod val="75000"/>
                </a:schemeClr>
              </a:solidFill>
            </a:rPr>
            <a:t>:</a:t>
          </a:r>
          <a:r>
            <a:rPr lang="en-IN" sz="1100">
              <a:solidFill>
                <a:schemeClr val="lt1"/>
              </a:solidFill>
              <a:latin typeface="+mn-lt"/>
              <a:ea typeface="+mn-ea"/>
              <a:cs typeface="+mn-cs"/>
            </a:rPr>
            <a:t>High-attendance cities can be considered stronger markets for future festival </a:t>
          </a:r>
          <a:r>
            <a:rPr lang="en-IN" sz="1100" b="1">
              <a:solidFill>
                <a:schemeClr val="tx1"/>
              </a:solidFill>
              <a:latin typeface="+mn-lt"/>
              <a:ea typeface="+mn-ea"/>
              <a:cs typeface="+mn-cs"/>
            </a:rPr>
            <a:t>expansion.</a:t>
          </a:r>
          <a:r>
            <a:rPr lang="en-IN" sz="1100" b="1" i="0" u="none" strike="noStrike">
              <a:solidFill>
                <a:schemeClr val="tx1"/>
              </a:solidFill>
              <a:effectLst/>
              <a:latin typeface="+mn-lt"/>
              <a:ea typeface="+mn-ea"/>
              <a:cs typeface="+mn-cs"/>
            </a:rPr>
            <a:t>Festival organizers can continue leveraging local headliners for strong attendance, while using international artists strategically to diversify the lineup and attract additional audiences.</a:t>
          </a:r>
          <a:r>
            <a:rPr lang="en-IN" b="1">
              <a:solidFill>
                <a:schemeClr val="tx1"/>
              </a:solidFill>
              <a:effectLst/>
            </a:rPr>
            <a:t> </a:t>
          </a:r>
          <a:endParaRPr lang="en-IN" sz="1100" b="1">
            <a:solidFill>
              <a:schemeClr val="tx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594360</xdr:colOff>
      <xdr:row>2</xdr:row>
      <xdr:rowOff>148590</xdr:rowOff>
    </xdr:from>
    <xdr:to>
      <xdr:col>10</xdr:col>
      <xdr:colOff>53340</xdr:colOff>
      <xdr:row>17</xdr:row>
      <xdr:rowOff>148590</xdr:rowOff>
    </xdr:to>
    <xdr:graphicFrame macro="">
      <xdr:nvGraphicFramePr>
        <xdr:cNvPr id="2" name="Chart 1">
          <a:extLst>
            <a:ext uri="{FF2B5EF4-FFF2-40B4-BE49-F238E27FC236}">
              <a16:creationId xmlns:a16="http://schemas.microsoft.com/office/drawing/2014/main" id="{6FD62F18-B80B-1EFF-8699-3E3754846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567267</xdr:colOff>
      <xdr:row>3</xdr:row>
      <xdr:rowOff>0</xdr:rowOff>
    </xdr:from>
    <xdr:to>
      <xdr:col>20</xdr:col>
      <xdr:colOff>558801</xdr:colOff>
      <xdr:row>6</xdr:row>
      <xdr:rowOff>135468</xdr:rowOff>
    </xdr:to>
    <xdr:sp macro="" textlink="">
      <xdr:nvSpPr>
        <xdr:cNvPr id="3" name="Rectangle: Rounded Corners 2">
          <a:extLst>
            <a:ext uri="{FF2B5EF4-FFF2-40B4-BE49-F238E27FC236}">
              <a16:creationId xmlns:a16="http://schemas.microsoft.com/office/drawing/2014/main" id="{338A7FCE-7521-4261-9362-B61628DDB4EB}"/>
            </a:ext>
          </a:extLst>
        </xdr:cNvPr>
        <xdr:cNvSpPr/>
      </xdr:nvSpPr>
      <xdr:spPr>
        <a:xfrm>
          <a:off x="8737600" y="558800"/>
          <a:ext cx="6087534" cy="694268"/>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 </a:t>
          </a:r>
        </a:p>
        <a:p>
          <a:pPr algn="l"/>
          <a:r>
            <a:rPr lang="en-IN">
              <a:solidFill>
                <a:schemeClr val="tx1"/>
              </a:solidFill>
            </a:rPr>
            <a:t>The price-attendance correlation is </a:t>
          </a:r>
          <a:r>
            <a:rPr lang="en-IN" b="1">
              <a:solidFill>
                <a:schemeClr val="tx1"/>
              </a:solidFill>
            </a:rPr>
            <a:t>0.13</a:t>
          </a:r>
          <a:r>
            <a:rPr lang="en-IN">
              <a:solidFill>
                <a:schemeClr val="tx1"/>
              </a:solidFill>
            </a:rPr>
            <a:t>, indicating a very weak positive relationship between average ticket price and average attendance across cities.</a:t>
          </a:r>
          <a:endParaRPr lang="en-IN" sz="1100" b="0" i="0" u="none" strike="noStrike">
            <a:solidFill>
              <a:schemeClr val="tx1"/>
            </a:solidFill>
            <a:effectLst/>
            <a:latin typeface="+mn-lt"/>
            <a:ea typeface="+mn-ea"/>
            <a:cs typeface="+mn-cs"/>
          </a:endParaRPr>
        </a:p>
      </xdr:txBody>
    </xdr:sp>
    <xdr:clientData/>
  </xdr:twoCellAnchor>
  <xdr:twoCellAnchor>
    <xdr:from>
      <xdr:col>11</xdr:col>
      <xdr:colOff>0</xdr:colOff>
      <xdr:row>8</xdr:row>
      <xdr:rowOff>0</xdr:rowOff>
    </xdr:from>
    <xdr:to>
      <xdr:col>21</xdr:col>
      <xdr:colOff>8467</xdr:colOff>
      <xdr:row>12</xdr:row>
      <xdr:rowOff>126585</xdr:rowOff>
    </xdr:to>
    <xdr:sp macro="" textlink="">
      <xdr:nvSpPr>
        <xdr:cNvPr id="4" name="Rectangle: Rounded Corners 3">
          <a:extLst>
            <a:ext uri="{FF2B5EF4-FFF2-40B4-BE49-F238E27FC236}">
              <a16:creationId xmlns:a16="http://schemas.microsoft.com/office/drawing/2014/main" id="{6B80E49B-BBCA-40CC-87D5-12237DDCE732}"/>
            </a:ext>
          </a:extLst>
        </xdr:cNvPr>
        <xdr:cNvSpPr/>
      </xdr:nvSpPr>
      <xdr:spPr>
        <a:xfrm>
          <a:off x="8779933" y="1490133"/>
          <a:ext cx="6104467" cy="871652"/>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a:solidFill>
                <a:schemeClr val="accent1">
                  <a:lumMod val="75000"/>
                </a:schemeClr>
              </a:solidFill>
            </a:rPr>
            <a:t>Recommendation</a:t>
          </a:r>
          <a:r>
            <a:rPr lang="en-IN" sz="1600" b="1">
              <a:solidFill>
                <a:schemeClr val="accent1">
                  <a:lumMod val="75000"/>
                </a:schemeClr>
              </a:solidFill>
            </a:rPr>
            <a:t>:</a:t>
          </a:r>
          <a:r>
            <a:rPr lang="en-IN" sz="1100">
              <a:solidFill>
                <a:schemeClr val="lt1"/>
              </a:solidFill>
              <a:latin typeface="+mn-lt"/>
              <a:ea typeface="+mn-ea"/>
              <a:cs typeface="+mn-cs"/>
            </a:rPr>
            <a:t>High-attendance cities can be considered stronger markets for future festival </a:t>
          </a:r>
          <a:r>
            <a:rPr lang="en-IN">
              <a:solidFill>
                <a:schemeClr val="tx1"/>
              </a:solidFill>
            </a:rPr>
            <a:t>Ticket pricing should be tailored by city rather than relying on a single price strategy, as ticket price shows only a weak relationship with attendance.</a:t>
          </a:r>
          <a:endParaRPr lang="en-IN" sz="1100" b="1">
            <a:solidFill>
              <a:schemeClr val="tx1"/>
            </a:solidFill>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951774</xdr:colOff>
      <xdr:row>5</xdr:row>
      <xdr:rowOff>177982</xdr:rowOff>
    </xdr:from>
    <xdr:to>
      <xdr:col>10</xdr:col>
      <xdr:colOff>372654</xdr:colOff>
      <xdr:row>20</xdr:row>
      <xdr:rowOff>177983</xdr:rowOff>
    </xdr:to>
    <xdr:graphicFrame macro="">
      <xdr:nvGraphicFramePr>
        <xdr:cNvPr id="3" name="Chart 2">
          <a:extLst>
            <a:ext uri="{FF2B5EF4-FFF2-40B4-BE49-F238E27FC236}">
              <a16:creationId xmlns:a16="http://schemas.microsoft.com/office/drawing/2014/main" id="{370D293E-303A-BCD1-723C-6C9537120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861785</xdr:colOff>
      <xdr:row>10</xdr:row>
      <xdr:rowOff>172356</xdr:rowOff>
    </xdr:from>
    <xdr:to>
      <xdr:col>17</xdr:col>
      <xdr:colOff>290891</xdr:colOff>
      <xdr:row>16</xdr:row>
      <xdr:rowOff>18143</xdr:rowOff>
    </xdr:to>
    <xdr:sp macro="" textlink="">
      <xdr:nvSpPr>
        <xdr:cNvPr id="4" name="Rectangle: Rounded Corners 3">
          <a:extLst>
            <a:ext uri="{FF2B5EF4-FFF2-40B4-BE49-F238E27FC236}">
              <a16:creationId xmlns:a16="http://schemas.microsoft.com/office/drawing/2014/main" id="{0C7CA887-2CD9-4D7F-B97E-6597C2F18267}"/>
            </a:ext>
          </a:extLst>
        </xdr:cNvPr>
        <xdr:cNvSpPr/>
      </xdr:nvSpPr>
      <xdr:spPr>
        <a:xfrm>
          <a:off x="9896928" y="1986642"/>
          <a:ext cx="6087534" cy="934358"/>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 </a:t>
          </a:r>
        </a:p>
        <a:p>
          <a:pPr algn="l"/>
          <a:r>
            <a:rPr lang="en-IN" sz="1200" b="0" i="0" u="none" strike="noStrike">
              <a:solidFill>
                <a:schemeClr val="tx1"/>
              </a:solidFill>
              <a:effectLst/>
              <a:latin typeface="+mn-lt"/>
              <a:ea typeface="+mn-ea"/>
              <a:cs typeface="+mn-cs"/>
            </a:rPr>
            <a:t>The </a:t>
          </a:r>
          <a:r>
            <a:rPr lang="en-IN" sz="1200" b="1" i="0" u="none" strike="noStrike">
              <a:solidFill>
                <a:schemeClr val="tx1"/>
              </a:solidFill>
              <a:effectLst/>
              <a:latin typeface="+mn-lt"/>
              <a:ea typeface="+mn-ea"/>
              <a:cs typeface="+mn-cs"/>
            </a:rPr>
            <a:t>₹0–1,500 price range </a:t>
          </a:r>
          <a:r>
            <a:rPr lang="en-IN" sz="1200" b="0" i="0" u="none" strike="noStrike">
              <a:solidFill>
                <a:schemeClr val="tx1"/>
              </a:solidFill>
              <a:effectLst/>
              <a:latin typeface="+mn-lt"/>
              <a:ea typeface="+mn-ea"/>
              <a:cs typeface="+mn-cs"/>
            </a:rPr>
            <a:t>recorded the highest average attendance of</a:t>
          </a:r>
          <a:r>
            <a:rPr lang="en-IN" sz="1200" b="1" i="0" u="none" strike="noStrike">
              <a:solidFill>
                <a:schemeClr val="tx1"/>
              </a:solidFill>
              <a:effectLst/>
              <a:latin typeface="+mn-lt"/>
              <a:ea typeface="+mn-ea"/>
              <a:cs typeface="+mn-cs"/>
            </a:rPr>
            <a:t> 26,158.99 per festival</a:t>
          </a:r>
          <a:r>
            <a:rPr lang="en-IN" sz="1200" b="0" i="0" u="none" strike="noStrike">
              <a:solidFill>
                <a:schemeClr val="tx1"/>
              </a:solidFill>
              <a:effectLst/>
              <a:latin typeface="+mn-lt"/>
              <a:ea typeface="+mn-ea"/>
              <a:cs typeface="+mn-cs"/>
            </a:rPr>
            <a:t>, while the </a:t>
          </a:r>
          <a:r>
            <a:rPr lang="en-IN" sz="1200" b="1" i="0" u="none" strike="noStrike">
              <a:solidFill>
                <a:schemeClr val="tx1"/>
              </a:solidFill>
              <a:effectLst/>
              <a:latin typeface="+mn-lt"/>
              <a:ea typeface="+mn-ea"/>
              <a:cs typeface="+mn-cs"/>
            </a:rPr>
            <a:t>₹4,500+ range </a:t>
          </a:r>
          <a:r>
            <a:rPr lang="en-IN" sz="1200" b="0" i="0" u="none" strike="noStrike">
              <a:solidFill>
                <a:schemeClr val="tx1"/>
              </a:solidFill>
              <a:effectLst/>
              <a:latin typeface="+mn-lt"/>
              <a:ea typeface="+mn-ea"/>
              <a:cs typeface="+mn-cs"/>
            </a:rPr>
            <a:t>generated the highest average revenue per festival.</a:t>
          </a:r>
          <a:r>
            <a:rPr lang="en-IN" sz="1600">
              <a:solidFill>
                <a:schemeClr val="tx1"/>
              </a:solidFill>
              <a:effectLst/>
            </a:rPr>
            <a:t> </a:t>
          </a:r>
          <a:endParaRPr lang="en-IN" sz="1600" b="1">
            <a:solidFill>
              <a:schemeClr val="tx1"/>
            </a:solidFill>
          </a:endParaRPr>
        </a:p>
      </xdr:txBody>
    </xdr:sp>
    <xdr:clientData/>
  </xdr:twoCellAnchor>
  <xdr:twoCellAnchor>
    <xdr:from>
      <xdr:col>10</xdr:col>
      <xdr:colOff>870857</xdr:colOff>
      <xdr:row>17</xdr:row>
      <xdr:rowOff>18141</xdr:rowOff>
    </xdr:from>
    <xdr:to>
      <xdr:col>17</xdr:col>
      <xdr:colOff>316896</xdr:colOff>
      <xdr:row>23</xdr:row>
      <xdr:rowOff>154213</xdr:rowOff>
    </xdr:to>
    <xdr:sp macro="" textlink="">
      <xdr:nvSpPr>
        <xdr:cNvPr id="5" name="Rectangle: Rounded Corners 4">
          <a:extLst>
            <a:ext uri="{FF2B5EF4-FFF2-40B4-BE49-F238E27FC236}">
              <a16:creationId xmlns:a16="http://schemas.microsoft.com/office/drawing/2014/main" id="{2942444B-3467-49DC-8097-724330DBE8C7}"/>
            </a:ext>
          </a:extLst>
        </xdr:cNvPr>
        <xdr:cNvSpPr/>
      </xdr:nvSpPr>
      <xdr:spPr>
        <a:xfrm>
          <a:off x="9906000" y="3102427"/>
          <a:ext cx="6104467" cy="1224643"/>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a:solidFill>
                <a:schemeClr val="accent1">
                  <a:lumMod val="75000"/>
                </a:schemeClr>
              </a:solidFill>
            </a:rPr>
            <a:t>Recommendation</a:t>
          </a:r>
          <a:r>
            <a:rPr lang="en-IN" sz="1600" b="1">
              <a:solidFill>
                <a:schemeClr val="accent1">
                  <a:lumMod val="75000"/>
                </a:schemeClr>
              </a:solidFill>
            </a:rPr>
            <a:t>:</a:t>
          </a:r>
        </a:p>
        <a:p>
          <a:pPr marL="0" marR="0" lvl="0" indent="0" algn="l" defTabSz="914400" rtl="0" eaLnBrk="1" fontAlgn="auto" latinLnBrk="0" hangingPunct="1">
            <a:lnSpc>
              <a:spcPct val="100000"/>
            </a:lnSpc>
            <a:spcBef>
              <a:spcPts val="0"/>
            </a:spcBef>
            <a:spcAft>
              <a:spcPts val="0"/>
            </a:spcAft>
            <a:buClrTx/>
            <a:buSzTx/>
            <a:buFontTx/>
            <a:buNone/>
            <a:tabLst/>
            <a:defRPr/>
          </a:pPr>
          <a:r>
            <a:rPr lang="en-IN" sz="1200" b="1">
              <a:solidFill>
                <a:schemeClr val="tx1"/>
              </a:solidFill>
            </a:rPr>
            <a:t>A balanced pricing strategy should focus on the ₹3,001–4,500 range, which provides strong average attendance while generating high average revenue per festival.</a:t>
          </a:r>
          <a:r>
            <a:rPr lang="en-IN" sz="1200" b="1">
              <a:solidFill>
                <a:schemeClr val="tx1"/>
              </a:solidFill>
              <a:latin typeface="+mn-lt"/>
              <a:ea typeface="+mn-ea"/>
              <a:cs typeface="+mn-cs"/>
            </a:rPr>
            <a:t>High-attendance cities can be considered stronger markets for future festival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11</xdr:row>
      <xdr:rowOff>125730</xdr:rowOff>
    </xdr:from>
    <xdr:to>
      <xdr:col>4</xdr:col>
      <xdr:colOff>167640</xdr:colOff>
      <xdr:row>26</xdr:row>
      <xdr:rowOff>125730</xdr:rowOff>
    </xdr:to>
    <xdr:graphicFrame macro="">
      <xdr:nvGraphicFramePr>
        <xdr:cNvPr id="2" name="Chart 1">
          <a:extLst>
            <a:ext uri="{FF2B5EF4-FFF2-40B4-BE49-F238E27FC236}">
              <a16:creationId xmlns:a16="http://schemas.microsoft.com/office/drawing/2014/main" id="{D85345D1-11CD-3DFE-EDC1-DEC96479A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12</xdr:row>
      <xdr:rowOff>39686</xdr:rowOff>
    </xdr:from>
    <xdr:to>
      <xdr:col>12</xdr:col>
      <xdr:colOff>492125</xdr:colOff>
      <xdr:row>18</xdr:row>
      <xdr:rowOff>23812</xdr:rowOff>
    </xdr:to>
    <xdr:sp macro="" textlink="">
      <xdr:nvSpPr>
        <xdr:cNvPr id="3" name="Rectangle: Rounded Corners 2">
          <a:extLst>
            <a:ext uri="{FF2B5EF4-FFF2-40B4-BE49-F238E27FC236}">
              <a16:creationId xmlns:a16="http://schemas.microsoft.com/office/drawing/2014/main" id="{329D2C21-E85C-4109-8198-7AF189DD2C7C}"/>
            </a:ext>
          </a:extLst>
        </xdr:cNvPr>
        <xdr:cNvSpPr/>
      </xdr:nvSpPr>
      <xdr:spPr>
        <a:xfrm>
          <a:off x="5064125" y="2230436"/>
          <a:ext cx="6985000" cy="1079501"/>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 </a:t>
          </a:r>
        </a:p>
        <a:p>
          <a:pPr algn="l"/>
          <a:r>
            <a:rPr lang="en-IN" sz="1400">
              <a:solidFill>
                <a:schemeClr val="tx1"/>
              </a:solidFill>
            </a:rPr>
            <a:t>All 10 festivals show variation in ticket prices, indicating multiple price levels in the dataset. However, the available data does not specify whether these differences represent VIP, early-bird, or last-minute pricing strategies.</a:t>
          </a:r>
          <a:endParaRPr lang="en-IN" sz="1400" b="1">
            <a:solidFill>
              <a:schemeClr val="tx1"/>
            </a:solidFill>
          </a:endParaRPr>
        </a:p>
      </xdr:txBody>
    </xdr:sp>
    <xdr:clientData/>
  </xdr:twoCellAnchor>
  <xdr:twoCellAnchor>
    <xdr:from>
      <xdr:col>5</xdr:col>
      <xdr:colOff>15875</xdr:colOff>
      <xdr:row>18</xdr:row>
      <xdr:rowOff>142875</xdr:rowOff>
    </xdr:from>
    <xdr:to>
      <xdr:col>12</xdr:col>
      <xdr:colOff>508001</xdr:colOff>
      <xdr:row>26</xdr:row>
      <xdr:rowOff>71437</xdr:rowOff>
    </xdr:to>
    <xdr:sp macro="" textlink="">
      <xdr:nvSpPr>
        <xdr:cNvPr id="4" name="Rectangle: Rounded Corners 3">
          <a:extLst>
            <a:ext uri="{FF2B5EF4-FFF2-40B4-BE49-F238E27FC236}">
              <a16:creationId xmlns:a16="http://schemas.microsoft.com/office/drawing/2014/main" id="{6AEF5BDA-2F0B-4126-9A03-EE0A53199F18}"/>
            </a:ext>
          </a:extLst>
        </xdr:cNvPr>
        <xdr:cNvSpPr/>
      </xdr:nvSpPr>
      <xdr:spPr>
        <a:xfrm>
          <a:off x="5080000" y="3429000"/>
          <a:ext cx="6985001" cy="1389062"/>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a:solidFill>
                <a:schemeClr val="accent1">
                  <a:lumMod val="75000"/>
                </a:schemeClr>
              </a:solidFill>
            </a:rPr>
            <a:t>Recommendation</a:t>
          </a:r>
          <a:r>
            <a:rPr lang="en-IN" sz="1600" b="1">
              <a:solidFill>
                <a:schemeClr val="accent1">
                  <a:lumMod val="75000"/>
                </a:schemeClr>
              </a:solidFill>
            </a:rPr>
            <a:t>:</a:t>
          </a:r>
        </a:p>
        <a:p>
          <a:pPr marL="0" marR="0" lvl="0" indent="0" algn="l" defTabSz="914400" rtl="0" eaLnBrk="1" fontAlgn="auto" latinLnBrk="0" hangingPunct="1">
            <a:lnSpc>
              <a:spcPct val="100000"/>
            </a:lnSpc>
            <a:spcBef>
              <a:spcPts val="0"/>
            </a:spcBef>
            <a:spcAft>
              <a:spcPts val="0"/>
            </a:spcAft>
            <a:buClrTx/>
            <a:buSzTx/>
            <a:buFontTx/>
            <a:buNone/>
            <a:tabLst/>
            <a:defRPr/>
          </a:pPr>
          <a:r>
            <a:rPr lang="en-IN" sz="1600">
              <a:solidFill>
                <a:schemeClr val="tx1"/>
              </a:solidFill>
            </a:rPr>
            <a:t>Festival organizers can consider using structured tiered pricing such as early-bird, general, and VIP tickets, but the available dataset should be supplemented with ticket-tier details to measure their actual effectiveness.</a:t>
          </a:r>
          <a:endParaRPr lang="en-IN" sz="1600" b="1">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358139</xdr:colOff>
      <xdr:row>0</xdr:row>
      <xdr:rowOff>57151</xdr:rowOff>
    </xdr:from>
    <xdr:to>
      <xdr:col>15</xdr:col>
      <xdr:colOff>41867</xdr:colOff>
      <xdr:row>12</xdr:row>
      <xdr:rowOff>83738</xdr:rowOff>
    </xdr:to>
    <xdr:graphicFrame macro="">
      <xdr:nvGraphicFramePr>
        <xdr:cNvPr id="2" name="Chart 1">
          <a:extLst>
            <a:ext uri="{FF2B5EF4-FFF2-40B4-BE49-F238E27FC236}">
              <a16:creationId xmlns:a16="http://schemas.microsoft.com/office/drawing/2014/main" id="{06B35E83-3F4D-C1FE-283B-54FCD220C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15</xdr:row>
      <xdr:rowOff>0</xdr:rowOff>
    </xdr:from>
    <xdr:to>
      <xdr:col>10</xdr:col>
      <xdr:colOff>294640</xdr:colOff>
      <xdr:row>20</xdr:row>
      <xdr:rowOff>165101</xdr:rowOff>
    </xdr:to>
    <xdr:sp macro="" textlink="">
      <xdr:nvSpPr>
        <xdr:cNvPr id="3" name="Rectangle: Rounded Corners 2">
          <a:extLst>
            <a:ext uri="{FF2B5EF4-FFF2-40B4-BE49-F238E27FC236}">
              <a16:creationId xmlns:a16="http://schemas.microsoft.com/office/drawing/2014/main" id="{5B91FC92-1BB6-41FC-A4DC-6C364006C8C7}"/>
            </a:ext>
          </a:extLst>
        </xdr:cNvPr>
        <xdr:cNvSpPr/>
      </xdr:nvSpPr>
      <xdr:spPr>
        <a:xfrm>
          <a:off x="883920" y="2743200"/>
          <a:ext cx="6985000" cy="1079501"/>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 </a:t>
          </a:r>
        </a:p>
        <a:p>
          <a:pPr algn="l"/>
          <a:r>
            <a:rPr lang="en-IN" sz="1400">
              <a:solidFill>
                <a:schemeClr val="tx1"/>
              </a:solidFill>
            </a:rPr>
            <a:t>Badshah has the highest average festival attendance at 36,448, followed by Honey Singh at 35,223 and Diljit Dosanjh at 33,738. This indicates these artists have the highest observed attendance impact in the dataset.</a:t>
          </a:r>
          <a:endParaRPr lang="en-IN" sz="1400" b="1">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68580</xdr:colOff>
      <xdr:row>0</xdr:row>
      <xdr:rowOff>57150</xdr:rowOff>
    </xdr:from>
    <xdr:to>
      <xdr:col>9</xdr:col>
      <xdr:colOff>373380</xdr:colOff>
      <xdr:row>15</xdr:row>
      <xdr:rowOff>57150</xdr:rowOff>
    </xdr:to>
    <xdr:graphicFrame macro="">
      <xdr:nvGraphicFramePr>
        <xdr:cNvPr id="2" name="Chart 1">
          <a:extLst>
            <a:ext uri="{FF2B5EF4-FFF2-40B4-BE49-F238E27FC236}">
              <a16:creationId xmlns:a16="http://schemas.microsoft.com/office/drawing/2014/main" id="{B0A64665-EEF8-B453-1EF5-C60BFDA97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541020</xdr:colOff>
      <xdr:row>0</xdr:row>
      <xdr:rowOff>137160</xdr:rowOff>
    </xdr:from>
    <xdr:to>
      <xdr:col>21</xdr:col>
      <xdr:colOff>219361</xdr:colOff>
      <xdr:row>5</xdr:row>
      <xdr:rowOff>106680</xdr:rowOff>
    </xdr:to>
    <xdr:sp macro="" textlink="">
      <xdr:nvSpPr>
        <xdr:cNvPr id="3" name="Rectangle: Rounded Corners 2">
          <a:extLst>
            <a:ext uri="{FF2B5EF4-FFF2-40B4-BE49-F238E27FC236}">
              <a16:creationId xmlns:a16="http://schemas.microsoft.com/office/drawing/2014/main" id="{680C061C-5E91-437C-8B60-21A762A59BD4}"/>
            </a:ext>
          </a:extLst>
        </xdr:cNvPr>
        <xdr:cNvSpPr/>
      </xdr:nvSpPr>
      <xdr:spPr>
        <a:xfrm>
          <a:off x="6979920" y="137160"/>
          <a:ext cx="6993541" cy="88392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a:t>
          </a:r>
        </a:p>
        <a:p>
          <a:pPr algn="l"/>
          <a:r>
            <a:rPr lang="en-IN" sz="1400" b="1">
              <a:solidFill>
                <a:schemeClr val="accent1">
                  <a:lumMod val="75000"/>
                </a:schemeClr>
              </a:solidFill>
            </a:rPr>
            <a:t> </a:t>
          </a:r>
          <a:r>
            <a:rPr lang="en-IN" sz="1400">
              <a:solidFill>
                <a:schemeClr val="tx1"/>
              </a:solidFill>
            </a:rPr>
            <a:t>Bollywood is the most represented genre with 3 artists, followed by EDM with 2 artists. Other genres have 1 artist each, indicating a diverse but Bollywood-led festival artist mix.</a:t>
          </a:r>
          <a:endParaRPr lang="en-IN" sz="1400" b="1">
            <a:solidFill>
              <a:schemeClr val="tx1"/>
            </a:solidFill>
          </a:endParaRPr>
        </a:p>
      </xdr:txBody>
    </xdr:sp>
    <xdr:clientData/>
  </xdr:twoCellAnchor>
  <xdr:twoCellAnchor>
    <xdr:from>
      <xdr:col>9</xdr:col>
      <xdr:colOff>571500</xdr:colOff>
      <xdr:row>6</xdr:row>
      <xdr:rowOff>15240</xdr:rowOff>
    </xdr:from>
    <xdr:to>
      <xdr:col>21</xdr:col>
      <xdr:colOff>241301</xdr:colOff>
      <xdr:row>11</xdr:row>
      <xdr:rowOff>137160</xdr:rowOff>
    </xdr:to>
    <xdr:sp macro="" textlink="">
      <xdr:nvSpPr>
        <xdr:cNvPr id="4" name="Rectangle: Rounded Corners 3">
          <a:extLst>
            <a:ext uri="{FF2B5EF4-FFF2-40B4-BE49-F238E27FC236}">
              <a16:creationId xmlns:a16="http://schemas.microsoft.com/office/drawing/2014/main" id="{7E2EC89C-9E32-4917-AB9C-A187B3AC9D7C}"/>
            </a:ext>
          </a:extLst>
        </xdr:cNvPr>
        <xdr:cNvSpPr/>
      </xdr:nvSpPr>
      <xdr:spPr>
        <a:xfrm>
          <a:off x="7010400" y="1112520"/>
          <a:ext cx="6985001" cy="103632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1">
              <a:solidFill>
                <a:schemeClr val="accent1">
                  <a:lumMod val="75000"/>
                </a:schemeClr>
              </a:solidFill>
            </a:rPr>
            <a:t>Recommendation</a:t>
          </a:r>
          <a:r>
            <a:rPr lang="en-IN" sz="1600" b="1">
              <a:solidFill>
                <a:schemeClr val="accent1">
                  <a:lumMod val="75000"/>
                </a:schemeClr>
              </a:solidFill>
            </a:rPr>
            <a:t>:</a:t>
          </a:r>
        </a:p>
        <a:p>
          <a:pPr marL="0" marR="0" lvl="0" indent="0" algn="l" defTabSz="914400" rtl="0" eaLnBrk="1" fontAlgn="auto" latinLnBrk="0" hangingPunct="1">
            <a:lnSpc>
              <a:spcPct val="100000"/>
            </a:lnSpc>
            <a:spcBef>
              <a:spcPts val="0"/>
            </a:spcBef>
            <a:spcAft>
              <a:spcPts val="0"/>
            </a:spcAft>
            <a:buClrTx/>
            <a:buSzTx/>
            <a:buFontTx/>
            <a:buNone/>
            <a:tabLst/>
            <a:defRPr/>
          </a:pPr>
          <a:r>
            <a:rPr lang="en-IN" sz="1600">
              <a:solidFill>
                <a:schemeClr val="tx1"/>
              </a:solidFill>
            </a:rPr>
            <a:t>Festival organizers can prioritize Bollywood and EDM artists while maintaining a mix of other genres to attract different audience segments.</a:t>
          </a:r>
          <a:endParaRPr lang="en-IN" sz="1600" b="1">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380999</xdr:colOff>
      <xdr:row>3</xdr:row>
      <xdr:rowOff>64346</xdr:rowOff>
    </xdr:from>
    <xdr:to>
      <xdr:col>11</xdr:col>
      <xdr:colOff>888999</xdr:colOff>
      <xdr:row>18</xdr:row>
      <xdr:rowOff>13546</xdr:rowOff>
    </xdr:to>
    <xdr:graphicFrame macro="">
      <xdr:nvGraphicFramePr>
        <xdr:cNvPr id="2" name="Chart 1">
          <a:extLst>
            <a:ext uri="{FF2B5EF4-FFF2-40B4-BE49-F238E27FC236}">
              <a16:creationId xmlns:a16="http://schemas.microsoft.com/office/drawing/2014/main" id="{9CF87721-74D1-DB18-AD40-507E79097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969905</xdr:colOff>
      <xdr:row>3</xdr:row>
      <xdr:rowOff>99718</xdr:rowOff>
    </xdr:from>
    <xdr:to>
      <xdr:col>17</xdr:col>
      <xdr:colOff>35748</xdr:colOff>
      <xdr:row>18</xdr:row>
      <xdr:rowOff>48918</xdr:rowOff>
    </xdr:to>
    <xdr:graphicFrame macro="">
      <xdr:nvGraphicFramePr>
        <xdr:cNvPr id="3" name="Chart 2">
          <a:extLst>
            <a:ext uri="{FF2B5EF4-FFF2-40B4-BE49-F238E27FC236}">
              <a16:creationId xmlns:a16="http://schemas.microsoft.com/office/drawing/2014/main" id="{5FB6D3AF-2BCB-B539-A83C-06153F81D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349250</xdr:colOff>
      <xdr:row>13</xdr:row>
      <xdr:rowOff>21167</xdr:rowOff>
    </xdr:from>
    <xdr:to>
      <xdr:col>6</xdr:col>
      <xdr:colOff>359833</xdr:colOff>
      <xdr:row>18</xdr:row>
      <xdr:rowOff>63500</xdr:rowOff>
    </xdr:to>
    <xdr:sp macro="" textlink="">
      <xdr:nvSpPr>
        <xdr:cNvPr id="4" name="Rectangle: Rounded Corners 3">
          <a:extLst>
            <a:ext uri="{FF2B5EF4-FFF2-40B4-BE49-F238E27FC236}">
              <a16:creationId xmlns:a16="http://schemas.microsoft.com/office/drawing/2014/main" id="{EC5EE4FC-84D4-41E7-A751-D9DA1F413E8F}"/>
            </a:ext>
          </a:extLst>
        </xdr:cNvPr>
        <xdr:cNvSpPr/>
      </xdr:nvSpPr>
      <xdr:spPr>
        <a:xfrm>
          <a:off x="349250" y="2360084"/>
          <a:ext cx="7408333" cy="941916"/>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a:t>
          </a:r>
          <a:endParaRPr lang="en-IN" sz="1400" b="1">
            <a:solidFill>
              <a:schemeClr val="tx1"/>
            </a:solidFill>
          </a:endParaRPr>
        </a:p>
        <a:p>
          <a:pPr algn="l"/>
          <a:r>
            <a:rPr lang="en-IN" sz="1400">
              <a:solidFill>
                <a:schemeClr val="tx1"/>
              </a:solidFill>
              <a:latin typeface="+mn-lt"/>
              <a:ea typeface="+mn-ea"/>
              <a:cs typeface="+mn-cs"/>
            </a:rPr>
            <a:t>Local artists show higher average attendance and total revenue proxy than international artists in the available dataset.</a:t>
          </a:r>
          <a:endParaRPr lang="en-IN" sz="1800" b="1">
            <a:solidFill>
              <a:schemeClr val="tx1"/>
            </a:solidFill>
          </a:endParaRPr>
        </a:p>
      </xdr:txBody>
    </xdr:sp>
    <xdr:clientData/>
  </xdr:twoCellAnchor>
  <xdr:twoCellAnchor>
    <xdr:from>
      <xdr:col>0</xdr:col>
      <xdr:colOff>338666</xdr:colOff>
      <xdr:row>19</xdr:row>
      <xdr:rowOff>21167</xdr:rowOff>
    </xdr:from>
    <xdr:to>
      <xdr:col>6</xdr:col>
      <xdr:colOff>349249</xdr:colOff>
      <xdr:row>23</xdr:row>
      <xdr:rowOff>74084</xdr:rowOff>
    </xdr:to>
    <xdr:sp macro="" textlink="">
      <xdr:nvSpPr>
        <xdr:cNvPr id="5" name="Rectangle: Rounded Corners 4">
          <a:extLst>
            <a:ext uri="{FF2B5EF4-FFF2-40B4-BE49-F238E27FC236}">
              <a16:creationId xmlns:a16="http://schemas.microsoft.com/office/drawing/2014/main" id="{9419FF95-9705-4D32-B547-4664BE864C11}"/>
            </a:ext>
          </a:extLst>
        </xdr:cNvPr>
        <xdr:cNvSpPr/>
      </xdr:nvSpPr>
      <xdr:spPr>
        <a:xfrm>
          <a:off x="338666" y="3439584"/>
          <a:ext cx="7408333" cy="772583"/>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latin typeface="+mn-lt"/>
              <a:ea typeface="+mn-ea"/>
              <a:cs typeface="+mn-cs"/>
            </a:rPr>
            <a:t>Limitation</a:t>
          </a:r>
          <a:r>
            <a:rPr lang="en-IN" sz="1400" b="1">
              <a:solidFill>
                <a:schemeClr val="accent1">
                  <a:lumMod val="75000"/>
                </a:schemeClr>
              </a:solidFill>
              <a:latin typeface="+mn-lt"/>
              <a:ea typeface="+mn-ea"/>
              <a:cs typeface="+mn-cs"/>
            </a:rPr>
            <a:t>:</a:t>
          </a:r>
          <a:r>
            <a:rPr lang="en-IN" sz="1400" b="1" baseline="0">
              <a:solidFill>
                <a:schemeClr val="accent1">
                  <a:lumMod val="75000"/>
                </a:schemeClr>
              </a:solidFill>
              <a:latin typeface="+mn-lt"/>
              <a:ea typeface="+mn-ea"/>
              <a:cs typeface="+mn-cs"/>
            </a:rPr>
            <a:t> </a:t>
          </a:r>
        </a:p>
        <a:p>
          <a:pPr algn="l"/>
          <a:r>
            <a:rPr lang="en-IN" sz="1400">
              <a:solidFill>
                <a:schemeClr val="tx1">
                  <a:lumMod val="85000"/>
                  <a:lumOff val="15000"/>
                </a:schemeClr>
              </a:solidFill>
              <a:latin typeface="+mn-lt"/>
              <a:ea typeface="+mn-ea"/>
              <a:cs typeface="+mn-cs"/>
            </a:rPr>
            <a:t>Actual ROI cannot be calculated because artist booking cost is not provided in the dataset.</a:t>
          </a:r>
          <a:endParaRPr lang="en-IN" sz="1400" b="1">
            <a:solidFill>
              <a:schemeClr val="tx1">
                <a:lumMod val="85000"/>
                <a:lumOff val="15000"/>
              </a:schemeClr>
            </a:solidFill>
            <a:latin typeface="+mn-lt"/>
            <a:ea typeface="+mn-ea"/>
            <a:cs typeface="+mn-cs"/>
          </a:endParaRPr>
        </a:p>
      </xdr:txBody>
    </xdr:sp>
    <xdr:clientData/>
  </xdr:twoCellAnchor>
  <xdr:twoCellAnchor>
    <xdr:from>
      <xdr:col>0</xdr:col>
      <xdr:colOff>349251</xdr:colOff>
      <xdr:row>24</xdr:row>
      <xdr:rowOff>0</xdr:rowOff>
    </xdr:from>
    <xdr:to>
      <xdr:col>6</xdr:col>
      <xdr:colOff>359834</xdr:colOff>
      <xdr:row>29</xdr:row>
      <xdr:rowOff>42333</xdr:rowOff>
    </xdr:to>
    <xdr:sp macro="" textlink="">
      <xdr:nvSpPr>
        <xdr:cNvPr id="6" name="Rectangle: Rounded Corners 5">
          <a:extLst>
            <a:ext uri="{FF2B5EF4-FFF2-40B4-BE49-F238E27FC236}">
              <a16:creationId xmlns:a16="http://schemas.microsoft.com/office/drawing/2014/main" id="{6A67A225-57C2-40E1-9672-7376165F95E0}"/>
            </a:ext>
          </a:extLst>
        </xdr:cNvPr>
        <xdr:cNvSpPr/>
      </xdr:nvSpPr>
      <xdr:spPr>
        <a:xfrm>
          <a:off x="349251" y="4318000"/>
          <a:ext cx="7408333" cy="941916"/>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latin typeface="+mn-lt"/>
              <a:ea typeface="+mn-ea"/>
              <a:cs typeface="+mn-cs"/>
            </a:rPr>
            <a:t>Recommendation</a:t>
          </a:r>
          <a:r>
            <a:rPr lang="en-IN" sz="1400" b="1">
              <a:solidFill>
                <a:schemeClr val="accent1">
                  <a:lumMod val="75000"/>
                </a:schemeClr>
              </a:solidFill>
              <a:latin typeface="+mn-lt"/>
              <a:ea typeface="+mn-ea"/>
              <a:cs typeface="+mn-cs"/>
            </a:rPr>
            <a:t>:</a:t>
          </a:r>
        </a:p>
        <a:p>
          <a:pPr algn="l"/>
          <a:r>
            <a:rPr lang="en-IN" sz="1400">
              <a:solidFill>
                <a:schemeClr val="tx1">
                  <a:lumMod val="85000"/>
                  <a:lumOff val="15000"/>
                </a:schemeClr>
              </a:solidFill>
              <a:latin typeface="+mn-lt"/>
              <a:ea typeface="+mn-ea"/>
              <a:cs typeface="+mn-cs"/>
            </a:rPr>
            <a:t>Festival organizers can use local artists for strong audience reach while using international artists selectively to diversify the lineup.</a:t>
          </a:r>
          <a:endParaRPr lang="en-IN" sz="1400" b="1">
            <a:solidFill>
              <a:schemeClr val="tx1">
                <a:lumMod val="85000"/>
                <a:lumOff val="15000"/>
              </a:schemeClr>
            </a:solidFill>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7070</xdr:colOff>
      <xdr:row>6</xdr:row>
      <xdr:rowOff>182743</xdr:rowOff>
    </xdr:from>
    <xdr:to>
      <xdr:col>7</xdr:col>
      <xdr:colOff>1725976</xdr:colOff>
      <xdr:row>21</xdr:row>
      <xdr:rowOff>182743</xdr:rowOff>
    </xdr:to>
    <xdr:graphicFrame macro="">
      <xdr:nvGraphicFramePr>
        <xdr:cNvPr id="3" name="Chart 2">
          <a:extLst>
            <a:ext uri="{FF2B5EF4-FFF2-40B4-BE49-F238E27FC236}">
              <a16:creationId xmlns:a16="http://schemas.microsoft.com/office/drawing/2014/main" id="{731C1DFF-86ED-18FF-5B45-15F69BA5A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2047302</xdr:colOff>
      <xdr:row>6</xdr:row>
      <xdr:rowOff>165253</xdr:rowOff>
    </xdr:from>
    <xdr:to>
      <xdr:col>19</xdr:col>
      <xdr:colOff>72936</xdr:colOff>
      <xdr:row>12</xdr:row>
      <xdr:rowOff>5483</xdr:rowOff>
    </xdr:to>
    <xdr:sp macro="" textlink="">
      <xdr:nvSpPr>
        <xdr:cNvPr id="4" name="Rectangle: Rounded Corners 3">
          <a:extLst>
            <a:ext uri="{FF2B5EF4-FFF2-40B4-BE49-F238E27FC236}">
              <a16:creationId xmlns:a16="http://schemas.microsoft.com/office/drawing/2014/main" id="{E007E566-EAE3-4986-B002-711805676153}"/>
            </a:ext>
          </a:extLst>
        </xdr:cNvPr>
        <xdr:cNvSpPr/>
      </xdr:nvSpPr>
      <xdr:spPr>
        <a:xfrm>
          <a:off x="10750627" y="1266940"/>
          <a:ext cx="7408333" cy="941916"/>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a:t>
          </a:r>
        </a:p>
        <a:p>
          <a:pPr algn="l"/>
          <a:r>
            <a:rPr lang="en-IN" sz="1200">
              <a:solidFill>
                <a:schemeClr val="tx1">
                  <a:lumMod val="85000"/>
                  <a:lumOff val="15000"/>
                </a:schemeClr>
              </a:solidFill>
              <a:latin typeface="+mn-lt"/>
              <a:ea typeface="+mn-ea"/>
              <a:cs typeface="+mn-cs"/>
            </a:rPr>
            <a:t>Sponsorship contributes </a:t>
          </a:r>
          <a:r>
            <a:rPr lang="en-IN" sz="1200" b="1">
              <a:solidFill>
                <a:schemeClr val="tx1">
                  <a:lumMod val="85000"/>
                  <a:lumOff val="15000"/>
                </a:schemeClr>
              </a:solidFill>
              <a:latin typeface="+mn-lt"/>
              <a:ea typeface="+mn-ea"/>
              <a:cs typeface="+mn-cs"/>
            </a:rPr>
            <a:t>4.40% </a:t>
          </a:r>
          <a:r>
            <a:rPr lang="en-IN" sz="1200">
              <a:solidFill>
                <a:schemeClr val="tx1">
                  <a:lumMod val="85000"/>
                  <a:lumOff val="15000"/>
                </a:schemeClr>
              </a:solidFill>
              <a:latin typeface="+mn-lt"/>
              <a:ea typeface="+mn-ea"/>
              <a:cs typeface="+mn-cs"/>
            </a:rPr>
            <a:t>of total festival revenue across the dataset, indicating that sponsorship is a supplementary revenue source.</a:t>
          </a:r>
          <a:endParaRPr lang="en-IN" sz="1600" b="1">
            <a:solidFill>
              <a:schemeClr val="tx1">
                <a:lumMod val="85000"/>
                <a:lumOff val="15000"/>
              </a:schemeClr>
            </a:solidFill>
          </a:endParaRPr>
        </a:p>
      </xdr:txBody>
    </xdr:sp>
    <xdr:clientData/>
  </xdr:twoCellAnchor>
  <xdr:twoCellAnchor>
    <xdr:from>
      <xdr:col>7</xdr:col>
      <xdr:colOff>2056481</xdr:colOff>
      <xdr:row>12</xdr:row>
      <xdr:rowOff>110169</xdr:rowOff>
    </xdr:from>
    <xdr:to>
      <xdr:col>19</xdr:col>
      <xdr:colOff>82115</xdr:colOff>
      <xdr:row>17</xdr:row>
      <xdr:rowOff>134012</xdr:rowOff>
    </xdr:to>
    <xdr:sp macro="" textlink="">
      <xdr:nvSpPr>
        <xdr:cNvPr id="5" name="Rectangle: Rounded Corners 4">
          <a:extLst>
            <a:ext uri="{FF2B5EF4-FFF2-40B4-BE49-F238E27FC236}">
              <a16:creationId xmlns:a16="http://schemas.microsoft.com/office/drawing/2014/main" id="{218CC5F6-07A8-42E1-B34C-FEFD54688FC3}"/>
            </a:ext>
          </a:extLst>
        </xdr:cNvPr>
        <xdr:cNvSpPr/>
      </xdr:nvSpPr>
      <xdr:spPr>
        <a:xfrm>
          <a:off x="10759806" y="2313542"/>
          <a:ext cx="7408333" cy="941916"/>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latin typeface="+mn-lt"/>
              <a:ea typeface="+mn-ea"/>
              <a:cs typeface="+mn-cs"/>
            </a:rPr>
            <a:t>Recommendation</a:t>
          </a:r>
          <a:r>
            <a:rPr lang="en-IN" sz="1400" b="1">
              <a:solidFill>
                <a:schemeClr val="accent1">
                  <a:lumMod val="75000"/>
                </a:schemeClr>
              </a:solidFill>
              <a:latin typeface="+mn-lt"/>
              <a:ea typeface="+mn-ea"/>
              <a:cs typeface="+mn-cs"/>
            </a:rPr>
            <a:t>:</a:t>
          </a:r>
        </a:p>
        <a:p>
          <a:pPr algn="l"/>
          <a:r>
            <a:rPr lang="en-IN" sz="1400">
              <a:solidFill>
                <a:schemeClr val="tx1">
                  <a:lumMod val="85000"/>
                  <a:lumOff val="15000"/>
                </a:schemeClr>
              </a:solidFill>
              <a:latin typeface="+mn-lt"/>
              <a:ea typeface="+mn-ea"/>
              <a:cs typeface="+mn-cs"/>
            </a:rPr>
            <a:t>Festivals can strengthen sponsorship partnerships to increase non-ticket revenue and reduce dependence on ticket sales.</a:t>
          </a:r>
          <a:endParaRPr lang="en-IN" sz="1800" b="1">
            <a:solidFill>
              <a:schemeClr val="tx1">
                <a:lumMod val="85000"/>
                <a:lumOff val="15000"/>
              </a:schemeClr>
            </a:solidFill>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182879</xdr:colOff>
      <xdr:row>0</xdr:row>
      <xdr:rowOff>59055</xdr:rowOff>
    </xdr:from>
    <xdr:to>
      <xdr:col>17</xdr:col>
      <xdr:colOff>105639</xdr:colOff>
      <xdr:row>15</xdr:row>
      <xdr:rowOff>59055</xdr:rowOff>
    </xdr:to>
    <xdr:graphicFrame macro="">
      <xdr:nvGraphicFramePr>
        <xdr:cNvPr id="4" name="Chart 3">
          <a:extLst>
            <a:ext uri="{FF2B5EF4-FFF2-40B4-BE49-F238E27FC236}">
              <a16:creationId xmlns:a16="http://schemas.microsoft.com/office/drawing/2014/main" id="{1FBED696-96F0-F4FF-07B5-F829E1FB2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18</xdr:row>
      <xdr:rowOff>0</xdr:rowOff>
    </xdr:from>
    <xdr:to>
      <xdr:col>14</xdr:col>
      <xdr:colOff>30787</xdr:colOff>
      <xdr:row>22</xdr:row>
      <xdr:rowOff>85725</xdr:rowOff>
    </xdr:to>
    <xdr:sp macro="" textlink="">
      <xdr:nvSpPr>
        <xdr:cNvPr id="5" name="Rectangle: Rounded Corners 4">
          <a:extLst>
            <a:ext uri="{FF2B5EF4-FFF2-40B4-BE49-F238E27FC236}">
              <a16:creationId xmlns:a16="http://schemas.microsoft.com/office/drawing/2014/main" id="{36AADE7B-41A4-49FE-8B29-5CAD0394E3A5}"/>
            </a:ext>
          </a:extLst>
        </xdr:cNvPr>
        <xdr:cNvSpPr/>
      </xdr:nvSpPr>
      <xdr:spPr>
        <a:xfrm>
          <a:off x="5781675" y="3257550"/>
          <a:ext cx="7422187" cy="809625"/>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a:t>
          </a:r>
        </a:p>
        <a:p>
          <a:pPr algn="l"/>
          <a:r>
            <a:rPr lang="en-IN" sz="1200">
              <a:solidFill>
                <a:schemeClr val="tx1">
                  <a:lumMod val="95000"/>
                  <a:lumOff val="5000"/>
                </a:schemeClr>
              </a:solidFill>
              <a:latin typeface="+mn-lt"/>
              <a:ea typeface="+mn-ea"/>
              <a:cs typeface="+mn-cs"/>
            </a:rPr>
            <a:t>The ₹1,501–3,000 ticket-price category has the highest average sponsorship revenue, while the ₹0–1,500 category has the lowest.</a:t>
          </a:r>
          <a:endParaRPr lang="en-IN" sz="1600" b="1">
            <a:solidFill>
              <a:schemeClr val="tx1">
                <a:lumMod val="95000"/>
                <a:lumOff val="5000"/>
              </a:schemeClr>
            </a:solidFill>
          </a:endParaRPr>
        </a:p>
      </xdr:txBody>
    </xdr:sp>
    <xdr:clientData/>
  </xdr:twoCellAnchor>
  <xdr:twoCellAnchor>
    <xdr:from>
      <xdr:col>5</xdr:col>
      <xdr:colOff>9525</xdr:colOff>
      <xdr:row>27</xdr:row>
      <xdr:rowOff>28574</xdr:rowOff>
    </xdr:from>
    <xdr:to>
      <xdr:col>13</xdr:col>
      <xdr:colOff>597958</xdr:colOff>
      <xdr:row>31</xdr:row>
      <xdr:rowOff>114299</xdr:rowOff>
    </xdr:to>
    <xdr:sp macro="" textlink="">
      <xdr:nvSpPr>
        <xdr:cNvPr id="6" name="Rectangle: Rounded Corners 5">
          <a:extLst>
            <a:ext uri="{FF2B5EF4-FFF2-40B4-BE49-F238E27FC236}">
              <a16:creationId xmlns:a16="http://schemas.microsoft.com/office/drawing/2014/main" id="{50F93DAE-3BC3-4D84-9E51-604746605EA8}"/>
            </a:ext>
          </a:extLst>
        </xdr:cNvPr>
        <xdr:cNvSpPr/>
      </xdr:nvSpPr>
      <xdr:spPr>
        <a:xfrm>
          <a:off x="5753100" y="4914899"/>
          <a:ext cx="7408333" cy="809625"/>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latin typeface="+mn-lt"/>
              <a:ea typeface="+mn-ea"/>
              <a:cs typeface="+mn-cs"/>
            </a:rPr>
            <a:t>Recommendation</a:t>
          </a:r>
          <a:r>
            <a:rPr lang="en-IN" sz="1400" b="1">
              <a:solidFill>
                <a:schemeClr val="accent1">
                  <a:lumMod val="75000"/>
                </a:schemeClr>
              </a:solidFill>
              <a:latin typeface="+mn-lt"/>
              <a:ea typeface="+mn-ea"/>
              <a:cs typeface="+mn-cs"/>
            </a:rPr>
            <a:t>:</a:t>
          </a:r>
        </a:p>
        <a:p>
          <a:pPr algn="l"/>
          <a:r>
            <a:rPr lang="en-IN" sz="1200">
              <a:solidFill>
                <a:schemeClr val="tx1">
                  <a:lumMod val="95000"/>
                  <a:lumOff val="5000"/>
                </a:schemeClr>
              </a:solidFill>
              <a:latin typeface="+mn-lt"/>
              <a:ea typeface="+mn-ea"/>
              <a:cs typeface="+mn-cs"/>
            </a:rPr>
            <a:t>Festivals can explore sponsorship strategies around mid-range ticket pricing while testing premium pricing selectively.</a:t>
          </a:r>
          <a:endParaRPr lang="en-IN" sz="1400" b="1">
            <a:solidFill>
              <a:schemeClr val="tx1">
                <a:lumMod val="95000"/>
                <a:lumOff val="5000"/>
              </a:schemeClr>
            </a:solidFill>
            <a:latin typeface="+mn-lt"/>
            <a:ea typeface="+mn-ea"/>
            <a:cs typeface="+mn-cs"/>
          </a:endParaRPr>
        </a:p>
      </xdr:txBody>
    </xdr:sp>
    <xdr:clientData/>
  </xdr:twoCellAnchor>
  <xdr:twoCellAnchor>
    <xdr:from>
      <xdr:col>5</xdr:col>
      <xdr:colOff>38100</xdr:colOff>
      <xdr:row>23</xdr:row>
      <xdr:rowOff>1</xdr:rowOff>
    </xdr:from>
    <xdr:to>
      <xdr:col>14</xdr:col>
      <xdr:colOff>16933</xdr:colOff>
      <xdr:row>26</xdr:row>
      <xdr:rowOff>123826</xdr:rowOff>
    </xdr:to>
    <xdr:sp macro="" textlink="">
      <xdr:nvSpPr>
        <xdr:cNvPr id="7" name="Rectangle: Rounded Corners 6">
          <a:extLst>
            <a:ext uri="{FF2B5EF4-FFF2-40B4-BE49-F238E27FC236}">
              <a16:creationId xmlns:a16="http://schemas.microsoft.com/office/drawing/2014/main" id="{3EC0BBCC-8260-46D4-8679-8CF0D6C69310}"/>
            </a:ext>
          </a:extLst>
        </xdr:cNvPr>
        <xdr:cNvSpPr/>
      </xdr:nvSpPr>
      <xdr:spPr>
        <a:xfrm>
          <a:off x="5781675" y="4162426"/>
          <a:ext cx="7408333" cy="66675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latin typeface="+mn-lt"/>
              <a:ea typeface="+mn-ea"/>
              <a:cs typeface="+mn-cs"/>
            </a:rPr>
            <a:t>Limitation:</a:t>
          </a:r>
          <a:r>
            <a:rPr lang="en-IN" sz="1200">
              <a:solidFill>
                <a:schemeClr val="tx1">
                  <a:lumMod val="95000"/>
                  <a:lumOff val="5000"/>
                </a:schemeClr>
              </a:solidFill>
              <a:latin typeface="+mn-lt"/>
              <a:ea typeface="+mn-ea"/>
              <a:cs typeface="+mn-cs"/>
            </a:rPr>
            <a:t>The dataset does not contain actual Premium or General ticket-tier information, so ticket price categories are used as a proxy.</a:t>
          </a:r>
          <a:endParaRPr lang="en-IN" sz="1400" b="1">
            <a:solidFill>
              <a:schemeClr val="tx1">
                <a:lumMod val="95000"/>
                <a:lumOff val="5000"/>
              </a:schemeClr>
            </a:solidFill>
            <a:latin typeface="+mn-lt"/>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76199</xdr:colOff>
      <xdr:row>0</xdr:row>
      <xdr:rowOff>11430</xdr:rowOff>
    </xdr:from>
    <xdr:to>
      <xdr:col>16</xdr:col>
      <xdr:colOff>129153</xdr:colOff>
      <xdr:row>15</xdr:row>
      <xdr:rowOff>11430</xdr:rowOff>
    </xdr:to>
    <xdr:graphicFrame macro="">
      <xdr:nvGraphicFramePr>
        <xdr:cNvPr id="2" name="Chart 1">
          <a:extLst>
            <a:ext uri="{FF2B5EF4-FFF2-40B4-BE49-F238E27FC236}">
              <a16:creationId xmlns:a16="http://schemas.microsoft.com/office/drawing/2014/main" id="{4602C4FB-B0AB-3A2F-868A-C129ED5B3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576385</xdr:colOff>
      <xdr:row>16</xdr:row>
      <xdr:rowOff>9769</xdr:rowOff>
    </xdr:from>
    <xdr:to>
      <xdr:col>20</xdr:col>
      <xdr:colOff>124572</xdr:colOff>
      <xdr:row>20</xdr:row>
      <xdr:rowOff>166077</xdr:rowOff>
    </xdr:to>
    <xdr:sp macro="" textlink="">
      <xdr:nvSpPr>
        <xdr:cNvPr id="3" name="Rectangle: Rounded Corners 2">
          <a:extLst>
            <a:ext uri="{FF2B5EF4-FFF2-40B4-BE49-F238E27FC236}">
              <a16:creationId xmlns:a16="http://schemas.microsoft.com/office/drawing/2014/main" id="{188D4DB1-D195-477A-9A1B-B3C43624DF1B}"/>
            </a:ext>
          </a:extLst>
        </xdr:cNvPr>
        <xdr:cNvSpPr/>
      </xdr:nvSpPr>
      <xdr:spPr>
        <a:xfrm>
          <a:off x="9974385" y="2979615"/>
          <a:ext cx="7422187" cy="89877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a:t>
          </a:r>
        </a:p>
        <a:p>
          <a:pPr algn="l"/>
          <a:r>
            <a:rPr lang="en-IN" sz="1400">
              <a:solidFill>
                <a:schemeClr val="tx1">
                  <a:lumMod val="95000"/>
                  <a:lumOff val="5000"/>
                </a:schemeClr>
              </a:solidFill>
              <a:latin typeface="+mn-lt"/>
              <a:ea typeface="+mn-ea"/>
              <a:cs typeface="+mn-cs"/>
            </a:rPr>
            <a:t>Bollywood Music Project has the highest merchandise contribution at 38.31%, followed by Ziro Festival Arunachal at </a:t>
          </a:r>
          <a:r>
            <a:rPr lang="en-IN" sz="1400" b="1">
              <a:solidFill>
                <a:schemeClr val="tx1">
                  <a:lumMod val="95000"/>
                  <a:lumOff val="5000"/>
                </a:schemeClr>
              </a:solidFill>
              <a:latin typeface="+mn-lt"/>
              <a:ea typeface="+mn-ea"/>
              <a:cs typeface="+mn-cs"/>
            </a:rPr>
            <a:t>34.37%</a:t>
          </a:r>
          <a:r>
            <a:rPr lang="en-IN" sz="1400">
              <a:solidFill>
                <a:schemeClr val="tx1">
                  <a:lumMod val="95000"/>
                  <a:lumOff val="5000"/>
                </a:schemeClr>
              </a:solidFill>
              <a:latin typeface="+mn-lt"/>
              <a:ea typeface="+mn-ea"/>
              <a:cs typeface="+mn-cs"/>
            </a:rPr>
            <a:t>.</a:t>
          </a:r>
          <a:endParaRPr lang="en-IN" sz="1600" b="1">
            <a:solidFill>
              <a:schemeClr val="tx1">
                <a:lumMod val="95000"/>
                <a:lumOff val="5000"/>
              </a:schemeClr>
            </a:solidFill>
          </a:endParaRPr>
        </a:p>
      </xdr:txBody>
    </xdr:sp>
    <xdr:clientData/>
  </xdr:twoCellAnchor>
  <xdr:twoCellAnchor>
    <xdr:from>
      <xdr:col>8</xdr:col>
      <xdr:colOff>9770</xdr:colOff>
      <xdr:row>21</xdr:row>
      <xdr:rowOff>87922</xdr:rowOff>
    </xdr:from>
    <xdr:to>
      <xdr:col>20</xdr:col>
      <xdr:colOff>149795</xdr:colOff>
      <xdr:row>26</xdr:row>
      <xdr:rowOff>68384</xdr:rowOff>
    </xdr:to>
    <xdr:sp macro="" textlink="">
      <xdr:nvSpPr>
        <xdr:cNvPr id="4" name="Rectangle: Rounded Corners 3">
          <a:extLst>
            <a:ext uri="{FF2B5EF4-FFF2-40B4-BE49-F238E27FC236}">
              <a16:creationId xmlns:a16="http://schemas.microsoft.com/office/drawing/2014/main" id="{FC44FC23-3B2E-4080-9916-0B9E55927CD2}"/>
            </a:ext>
          </a:extLst>
        </xdr:cNvPr>
        <xdr:cNvSpPr/>
      </xdr:nvSpPr>
      <xdr:spPr>
        <a:xfrm>
          <a:off x="10013462" y="3985845"/>
          <a:ext cx="7408333" cy="908539"/>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latin typeface="+mn-lt"/>
              <a:ea typeface="+mn-ea"/>
              <a:cs typeface="+mn-cs"/>
            </a:rPr>
            <a:t>Limitation:</a:t>
          </a:r>
        </a:p>
        <a:p>
          <a:pPr algn="l"/>
          <a:r>
            <a:rPr lang="en-IN" sz="1400">
              <a:solidFill>
                <a:schemeClr val="tx1">
                  <a:lumMod val="95000"/>
                  <a:lumOff val="5000"/>
                </a:schemeClr>
              </a:solidFill>
              <a:latin typeface="+mn-lt"/>
              <a:ea typeface="+mn-ea"/>
              <a:cs typeface="+mn-cs"/>
            </a:rPr>
            <a:t>Merchandise contribution varies significantly across festivals, so a single merchandise strategy may not work for every event.</a:t>
          </a:r>
          <a:endParaRPr lang="en-IN" sz="1800" b="1">
            <a:solidFill>
              <a:schemeClr val="tx1">
                <a:lumMod val="95000"/>
                <a:lumOff val="5000"/>
              </a:schemeClr>
            </a:solidFill>
            <a:latin typeface="+mn-lt"/>
            <a:ea typeface="+mn-ea"/>
            <a:cs typeface="+mn-cs"/>
          </a:endParaRPr>
        </a:p>
      </xdr:txBody>
    </xdr:sp>
    <xdr:clientData/>
  </xdr:twoCellAnchor>
  <xdr:twoCellAnchor>
    <xdr:from>
      <xdr:col>7</xdr:col>
      <xdr:colOff>605691</xdr:colOff>
      <xdr:row>27</xdr:row>
      <xdr:rowOff>29308</xdr:rowOff>
    </xdr:from>
    <xdr:to>
      <xdr:col>20</xdr:col>
      <xdr:colOff>140024</xdr:colOff>
      <xdr:row>31</xdr:row>
      <xdr:rowOff>146538</xdr:rowOff>
    </xdr:to>
    <xdr:sp macro="" textlink="">
      <xdr:nvSpPr>
        <xdr:cNvPr id="5" name="Rectangle: Rounded Corners 4">
          <a:extLst>
            <a:ext uri="{FF2B5EF4-FFF2-40B4-BE49-F238E27FC236}">
              <a16:creationId xmlns:a16="http://schemas.microsoft.com/office/drawing/2014/main" id="{B788E76B-BD69-488C-9814-EA70308F1426}"/>
            </a:ext>
          </a:extLst>
        </xdr:cNvPr>
        <xdr:cNvSpPr/>
      </xdr:nvSpPr>
      <xdr:spPr>
        <a:xfrm>
          <a:off x="10003691" y="5040923"/>
          <a:ext cx="7408333" cy="859692"/>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latin typeface="+mn-lt"/>
              <a:ea typeface="+mn-ea"/>
              <a:cs typeface="+mn-cs"/>
            </a:rPr>
            <a:t>Recommendation</a:t>
          </a:r>
          <a:r>
            <a:rPr lang="en-IN" sz="1400" b="1">
              <a:solidFill>
                <a:schemeClr val="accent1">
                  <a:lumMod val="75000"/>
                </a:schemeClr>
              </a:solidFill>
              <a:latin typeface="+mn-lt"/>
              <a:ea typeface="+mn-ea"/>
              <a:cs typeface="+mn-cs"/>
            </a:rPr>
            <a:t>:</a:t>
          </a:r>
        </a:p>
        <a:p>
          <a:pPr algn="l"/>
          <a:r>
            <a:rPr lang="en-IN" sz="1400">
              <a:solidFill>
                <a:schemeClr val="tx1">
                  <a:lumMod val="95000"/>
                  <a:lumOff val="5000"/>
                </a:schemeClr>
              </a:solidFill>
              <a:latin typeface="+mn-lt"/>
              <a:ea typeface="+mn-ea"/>
              <a:cs typeface="+mn-cs"/>
            </a:rPr>
            <a:t>Festivals should strengthen merchandise sales through artist collaborations, event branding, and targeted merchandise offerings.</a:t>
          </a:r>
          <a:endParaRPr lang="en-IN" sz="1400" b="1">
            <a:solidFill>
              <a:schemeClr val="tx1">
                <a:lumMod val="95000"/>
                <a:lumOff val="5000"/>
              </a:schemeClr>
            </a:solidFill>
            <a:latin typeface="+mn-lt"/>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511215</xdr:colOff>
      <xdr:row>0</xdr:row>
      <xdr:rowOff>157222</xdr:rowOff>
    </xdr:from>
    <xdr:to>
      <xdr:col>22</xdr:col>
      <xdr:colOff>0</xdr:colOff>
      <xdr:row>20</xdr:row>
      <xdr:rowOff>127000</xdr:rowOff>
    </xdr:to>
    <xdr:graphicFrame macro="">
      <xdr:nvGraphicFramePr>
        <xdr:cNvPr id="2" name="Chart 1">
          <a:extLst>
            <a:ext uri="{FF2B5EF4-FFF2-40B4-BE49-F238E27FC236}">
              <a16:creationId xmlns:a16="http://schemas.microsoft.com/office/drawing/2014/main" id="{655CFC1F-3BC4-C934-271E-37CC33044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588817</xdr:colOff>
      <xdr:row>18</xdr:row>
      <xdr:rowOff>69272</xdr:rowOff>
    </xdr:from>
    <xdr:to>
      <xdr:col>13</xdr:col>
      <xdr:colOff>379459</xdr:colOff>
      <xdr:row>24</xdr:row>
      <xdr:rowOff>138544</xdr:rowOff>
    </xdr:to>
    <xdr:sp macro="" textlink="">
      <xdr:nvSpPr>
        <xdr:cNvPr id="3" name="Rectangle: Rounded Corners 2">
          <a:extLst>
            <a:ext uri="{FF2B5EF4-FFF2-40B4-BE49-F238E27FC236}">
              <a16:creationId xmlns:a16="http://schemas.microsoft.com/office/drawing/2014/main" id="{D8F7A96C-A915-457E-B320-894C7EA72071}"/>
            </a:ext>
          </a:extLst>
        </xdr:cNvPr>
        <xdr:cNvSpPr/>
      </xdr:nvSpPr>
      <xdr:spPr>
        <a:xfrm>
          <a:off x="4250375" y="3275610"/>
          <a:ext cx="7430435" cy="1138051"/>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rPr>
            <a:t>INSIGHTS:</a:t>
          </a:r>
        </a:p>
        <a:p>
          <a:pPr algn="l"/>
          <a:r>
            <a:rPr lang="en-IN" sz="1400" b="1">
              <a:solidFill>
                <a:schemeClr val="tx1">
                  <a:lumMod val="95000"/>
                  <a:lumOff val="5000"/>
                </a:schemeClr>
              </a:solidFill>
              <a:latin typeface="+mn-lt"/>
              <a:ea typeface="+mn-ea"/>
              <a:cs typeface="+mn-cs"/>
            </a:rPr>
            <a:t>Goa</a:t>
          </a:r>
          <a:r>
            <a:rPr lang="en-IN" sz="1400">
              <a:solidFill>
                <a:schemeClr val="tx1">
                  <a:lumMod val="95000"/>
                  <a:lumOff val="5000"/>
                </a:schemeClr>
              </a:solidFill>
              <a:latin typeface="+mn-lt"/>
              <a:ea typeface="+mn-ea"/>
              <a:cs typeface="+mn-cs"/>
            </a:rPr>
            <a:t> has the highest overall festival attendance, followed by </a:t>
          </a:r>
          <a:r>
            <a:rPr lang="en-IN" sz="1400" b="1">
              <a:solidFill>
                <a:schemeClr val="tx1">
                  <a:lumMod val="95000"/>
                  <a:lumOff val="5000"/>
                </a:schemeClr>
              </a:solidFill>
              <a:latin typeface="+mn-lt"/>
              <a:ea typeface="+mn-ea"/>
              <a:cs typeface="+mn-cs"/>
            </a:rPr>
            <a:t>Jaipur and Nagpur</a:t>
          </a:r>
          <a:r>
            <a:rPr lang="en-IN" sz="1400">
              <a:solidFill>
                <a:schemeClr val="tx1">
                  <a:lumMod val="95000"/>
                  <a:lumOff val="5000"/>
                </a:schemeClr>
              </a:solidFill>
              <a:latin typeface="+mn-lt"/>
              <a:ea typeface="+mn-ea"/>
              <a:cs typeface="+mn-cs"/>
            </a:rPr>
            <a:t>. </a:t>
          </a:r>
          <a:r>
            <a:rPr lang="en-IN" sz="1400" b="1">
              <a:solidFill>
                <a:schemeClr val="tx1">
                  <a:lumMod val="95000"/>
                  <a:lumOff val="5000"/>
                </a:schemeClr>
              </a:solidFill>
              <a:latin typeface="+mn-lt"/>
              <a:ea typeface="+mn-ea"/>
              <a:cs typeface="+mn-cs"/>
            </a:rPr>
            <a:t>Bollywood</a:t>
          </a:r>
          <a:r>
            <a:rPr lang="en-IN" sz="1400">
              <a:solidFill>
                <a:schemeClr val="tx1">
                  <a:lumMod val="95000"/>
                  <a:lumOff val="5000"/>
                </a:schemeClr>
              </a:solidFill>
              <a:latin typeface="+mn-lt"/>
              <a:ea typeface="+mn-ea"/>
              <a:cs typeface="+mn-cs"/>
            </a:rPr>
            <a:t> has the highest total attendance among the major genres, indicating strong audience preference for Bollywood festivals.</a:t>
          </a:r>
          <a:endParaRPr lang="en-IN" sz="1400" b="1">
            <a:solidFill>
              <a:schemeClr val="tx1">
                <a:lumMod val="95000"/>
                <a:lumOff val="5000"/>
              </a:schemeClr>
            </a:solidFill>
          </a:endParaRPr>
        </a:p>
      </xdr:txBody>
    </xdr:sp>
    <xdr:clientData/>
  </xdr:twoCellAnchor>
  <xdr:twoCellAnchor>
    <xdr:from>
      <xdr:col>4</xdr:col>
      <xdr:colOff>593767</xdr:colOff>
      <xdr:row>25</xdr:row>
      <xdr:rowOff>138545</xdr:rowOff>
    </xdr:from>
    <xdr:to>
      <xdr:col>13</xdr:col>
      <xdr:colOff>362307</xdr:colOff>
      <xdr:row>30</xdr:row>
      <xdr:rowOff>107588</xdr:rowOff>
    </xdr:to>
    <xdr:sp macro="" textlink="">
      <xdr:nvSpPr>
        <xdr:cNvPr id="4" name="Rectangle: Rounded Corners 3">
          <a:extLst>
            <a:ext uri="{FF2B5EF4-FFF2-40B4-BE49-F238E27FC236}">
              <a16:creationId xmlns:a16="http://schemas.microsoft.com/office/drawing/2014/main" id="{95770A6D-6AFD-475F-B1F1-CF35CEFF9CC5}"/>
            </a:ext>
          </a:extLst>
        </xdr:cNvPr>
        <xdr:cNvSpPr/>
      </xdr:nvSpPr>
      <xdr:spPr>
        <a:xfrm>
          <a:off x="4255325" y="4591792"/>
          <a:ext cx="7408333" cy="859692"/>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latin typeface="+mn-lt"/>
              <a:ea typeface="+mn-ea"/>
              <a:cs typeface="+mn-cs"/>
            </a:rPr>
            <a:t>Recommendation</a:t>
          </a:r>
          <a:r>
            <a:rPr lang="en-IN" sz="1400" b="1">
              <a:solidFill>
                <a:schemeClr val="accent1">
                  <a:lumMod val="75000"/>
                </a:schemeClr>
              </a:solidFill>
              <a:latin typeface="+mn-lt"/>
              <a:ea typeface="+mn-ea"/>
              <a:cs typeface="+mn-cs"/>
            </a:rPr>
            <a:t>:</a:t>
          </a:r>
        </a:p>
        <a:p>
          <a:pPr algn="l"/>
          <a:r>
            <a:rPr lang="en-IN" sz="1400">
              <a:solidFill>
                <a:schemeClr val="tx1">
                  <a:lumMod val="95000"/>
                  <a:lumOff val="5000"/>
                </a:schemeClr>
              </a:solidFill>
              <a:latin typeface="+mn-lt"/>
              <a:ea typeface="+mn-ea"/>
              <a:cs typeface="+mn-cs"/>
            </a:rPr>
            <a:t>Festival organizers should prioritize high-demand cities such as Goa, Jaipur and Nagpur, while focusing on popular genres like Bollywood to maximize audience engagement.</a:t>
          </a:r>
          <a:endParaRPr lang="en-IN" sz="1800" b="1">
            <a:solidFill>
              <a:schemeClr val="tx1">
                <a:lumMod val="95000"/>
                <a:lumOff val="5000"/>
              </a:schemeClr>
            </a:solidFill>
            <a:latin typeface="+mn-lt"/>
            <a:ea typeface="+mn-ea"/>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510540</xdr:colOff>
      <xdr:row>0</xdr:row>
      <xdr:rowOff>57150</xdr:rowOff>
    </xdr:from>
    <xdr:to>
      <xdr:col>14</xdr:col>
      <xdr:colOff>281940</xdr:colOff>
      <xdr:row>15</xdr:row>
      <xdr:rowOff>57150</xdr:rowOff>
    </xdr:to>
    <xdr:graphicFrame macro="">
      <xdr:nvGraphicFramePr>
        <xdr:cNvPr id="2" name="Chart 1">
          <a:extLst>
            <a:ext uri="{FF2B5EF4-FFF2-40B4-BE49-F238E27FC236}">
              <a16:creationId xmlns:a16="http://schemas.microsoft.com/office/drawing/2014/main" id="{B9CC93AF-4F3C-BD6F-2119-7D9D60EBF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17</xdr:row>
      <xdr:rowOff>0</xdr:rowOff>
    </xdr:from>
    <xdr:to>
      <xdr:col>10</xdr:col>
      <xdr:colOff>290495</xdr:colOff>
      <xdr:row>23</xdr:row>
      <xdr:rowOff>40771</xdr:rowOff>
    </xdr:to>
    <xdr:sp macro="" textlink="">
      <xdr:nvSpPr>
        <xdr:cNvPr id="3" name="Rectangle: Rounded Corners 2">
          <a:extLst>
            <a:ext uri="{FF2B5EF4-FFF2-40B4-BE49-F238E27FC236}">
              <a16:creationId xmlns:a16="http://schemas.microsoft.com/office/drawing/2014/main" id="{42937979-22E9-446B-B920-3209DEF5F646}"/>
            </a:ext>
          </a:extLst>
        </xdr:cNvPr>
        <xdr:cNvSpPr/>
      </xdr:nvSpPr>
      <xdr:spPr>
        <a:xfrm>
          <a:off x="609600" y="3108960"/>
          <a:ext cx="7430435" cy="1138051"/>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accent1">
                  <a:lumMod val="75000"/>
                </a:schemeClr>
              </a:solidFill>
            </a:rPr>
            <a:t>INSIGHTS:</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a:solidFill>
                <a:schemeClr val="tx1">
                  <a:lumMod val="95000"/>
                  <a:lumOff val="5000"/>
                </a:schemeClr>
              </a:solidFill>
              <a:latin typeface="+mn-lt"/>
              <a:ea typeface="+mn-ea"/>
              <a:cs typeface="+mn-cs"/>
            </a:rPr>
            <a:t>Bengaluru has the highest revenue per attendee at ₹4,202.93, followed by Kolkata at ₹4,099.16 and Pune at ₹3,867.31. Goa has the highest total attendance, but its revenue per attendee is lower at ₹2,904.40.</a:t>
          </a:r>
          <a:endParaRPr lang="en-IN" sz="1800">
            <a:solidFill>
              <a:schemeClr val="tx1">
                <a:lumMod val="95000"/>
                <a:lumOff val="5000"/>
              </a:schemeClr>
            </a:solidFill>
          </a:endParaRPr>
        </a:p>
        <a:p>
          <a:pPr algn="l"/>
          <a:endParaRPr lang="en-IN" sz="1400" b="1">
            <a:solidFill>
              <a:schemeClr val="accent1">
                <a:lumMod val="75000"/>
              </a:schemeClr>
            </a:solidFill>
          </a:endParaRPr>
        </a:p>
      </xdr:txBody>
    </xdr:sp>
    <xdr:clientData/>
  </xdr:twoCellAnchor>
  <xdr:twoCellAnchor>
    <xdr:from>
      <xdr:col>1</xdr:col>
      <xdr:colOff>0</xdr:colOff>
      <xdr:row>24</xdr:row>
      <xdr:rowOff>0</xdr:rowOff>
    </xdr:from>
    <xdr:to>
      <xdr:col>10</xdr:col>
      <xdr:colOff>258703</xdr:colOff>
      <xdr:row>28</xdr:row>
      <xdr:rowOff>144729</xdr:rowOff>
    </xdr:to>
    <xdr:sp macro="" textlink="">
      <xdr:nvSpPr>
        <xdr:cNvPr id="4" name="Rectangle: Rounded Corners 3">
          <a:extLst>
            <a:ext uri="{FF2B5EF4-FFF2-40B4-BE49-F238E27FC236}">
              <a16:creationId xmlns:a16="http://schemas.microsoft.com/office/drawing/2014/main" id="{55F82DE9-AB0E-47B0-8729-78144AA3A17B}"/>
            </a:ext>
          </a:extLst>
        </xdr:cNvPr>
        <xdr:cNvSpPr/>
      </xdr:nvSpPr>
      <xdr:spPr>
        <a:xfrm>
          <a:off x="611481" y="4289778"/>
          <a:ext cx="7408333" cy="859692"/>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accent1">
                  <a:lumMod val="75000"/>
                </a:schemeClr>
              </a:solidFill>
              <a:latin typeface="+mn-lt"/>
              <a:ea typeface="+mn-ea"/>
              <a:cs typeface="+mn-cs"/>
            </a:rPr>
            <a:t>Recommendation</a:t>
          </a:r>
          <a:r>
            <a:rPr lang="en-IN" sz="1400" b="1">
              <a:solidFill>
                <a:schemeClr val="accent1">
                  <a:lumMod val="75000"/>
                </a:schemeClr>
              </a:solidFill>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a:solidFill>
                <a:schemeClr val="tx1">
                  <a:lumMod val="95000"/>
                  <a:lumOff val="5000"/>
                </a:schemeClr>
              </a:solidFill>
              <a:latin typeface="+mn-lt"/>
              <a:ea typeface="+mn-ea"/>
              <a:cs typeface="+mn-cs"/>
            </a:rPr>
            <a:t>Festival organizers should prioritize cities like Bengaluru, Kolkata and Pune for revenue-focused expansion, while Goa can remain a key high-attendance market.</a:t>
          </a:r>
          <a:endParaRPr lang="en-IN" sz="1800">
            <a:solidFill>
              <a:schemeClr val="tx1">
                <a:lumMod val="95000"/>
                <a:lumOff val="5000"/>
              </a:schemeClr>
            </a:solidFill>
          </a:endParaRPr>
        </a:p>
        <a:p>
          <a:pPr algn="l"/>
          <a:endParaRPr lang="en-IN" sz="1400" b="1">
            <a:solidFill>
              <a:schemeClr val="accent1">
                <a:lumMod val="75000"/>
              </a:schemeClr>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Das" refreshedDate="46299.925583101853" createdVersion="8" refreshedVersion="8" minRefreshableVersion="3" recordCount="100" xr:uid="{9D25DC92-0B3D-42E1-ACF8-2AD2653D4682}">
  <cacheSource type="worksheet">
    <worksheetSource ref="A1:D101" sheet="Stage6_Q1"/>
  </cacheSource>
  <cacheFields count="4">
    <cacheField name="City" numFmtId="0">
      <sharedItems count="10">
        <s v="Kolkata"/>
        <s v="Delhi"/>
        <s v="Bengaluru"/>
        <s v="Goa"/>
        <s v="Nagpur"/>
        <s v="Jaipur"/>
        <s v="Pune"/>
        <s v="Mumbai"/>
        <s v="Amritsar"/>
        <s v="Chandigarh"/>
      </sharedItems>
    </cacheField>
    <cacheField name="Headlining Artist" numFmtId="0">
      <sharedItems/>
    </cacheField>
    <cacheField name="Genre" numFmtId="0">
      <sharedItems count="7">
        <s v="Bollywood"/>
        <s v="Hip-Hop"/>
        <s v="Rock"/>
        <s v="Classical/Bollywood"/>
        <s v="EDM"/>
        <s v="Punjabi"/>
        <s v="International Pop"/>
      </sharedItems>
    </cacheField>
    <cacheField name="Attendance" numFmtId="0">
      <sharedItems containsSemiMixedTypes="0" containsString="0" containsNumber="1" minValue="2975.7" maxValue="58687.19999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Badshah"/>
    <x v="0"/>
    <n v="6166"/>
  </r>
  <r>
    <x v="1"/>
    <s v="Honey Singh"/>
    <x v="1"/>
    <n v="40643"/>
  </r>
  <r>
    <x v="2"/>
    <s v="Bryan Adams"/>
    <x v="2"/>
    <n v="17889.900000000001"/>
  </r>
  <r>
    <x v="3"/>
    <s v="Honey Singh"/>
    <x v="1"/>
    <n v="14688"/>
  </r>
  <r>
    <x v="4"/>
    <s v="Arijit Singh"/>
    <x v="0"/>
    <n v="35244"/>
  </r>
  <r>
    <x v="5"/>
    <s v="Mika Singh"/>
    <x v="0"/>
    <n v="31020"/>
  </r>
  <r>
    <x v="3"/>
    <s v="Bryan Adams"/>
    <x v="2"/>
    <n v="18778.2"/>
  </r>
  <r>
    <x v="4"/>
    <s v="Badshah"/>
    <x v="0"/>
    <n v="33535"/>
  </r>
  <r>
    <x v="1"/>
    <s v="Shreya Ghoshal"/>
    <x v="3"/>
    <n v="21248.01"/>
  </r>
  <r>
    <x v="0"/>
    <s v="Honey Singh"/>
    <x v="1"/>
    <n v="15513"/>
  </r>
  <r>
    <x v="5"/>
    <s v="DJ Snake"/>
    <x v="4"/>
    <n v="21693"/>
  </r>
  <r>
    <x v="3"/>
    <s v="Shreya Ghoshal"/>
    <x v="3"/>
    <n v="24021"/>
  </r>
  <r>
    <x v="6"/>
    <s v="Diljit Dosanjh"/>
    <x v="5"/>
    <n v="33241"/>
  </r>
  <r>
    <x v="7"/>
    <s v="Martin Garrix"/>
    <x v="4"/>
    <n v="19867"/>
  </r>
  <r>
    <x v="8"/>
    <s v="Shreya Ghoshal"/>
    <x v="3"/>
    <n v="20603"/>
  </r>
  <r>
    <x v="0"/>
    <s v="Bryan Adams"/>
    <x v="2"/>
    <n v="9504.6"/>
  </r>
  <r>
    <x v="1"/>
    <s v="Bryan Adams"/>
    <x v="2"/>
    <n v="9158.1"/>
  </r>
  <r>
    <x v="6"/>
    <s v="Ed Sheeran"/>
    <x v="6"/>
    <n v="11790"/>
  </r>
  <r>
    <x v="1"/>
    <s v="Shreya Ghoshal"/>
    <x v="3"/>
    <n v="31755"/>
  </r>
  <r>
    <x v="4"/>
    <s v="Bryan Adams"/>
    <x v="2"/>
    <n v="2975.7"/>
  </r>
  <r>
    <x v="1"/>
    <s v="Badshah"/>
    <x v="0"/>
    <n v="27719"/>
  </r>
  <r>
    <x v="2"/>
    <s v="Arijit Singh"/>
    <x v="0"/>
    <n v="21142"/>
  </r>
  <r>
    <x v="9"/>
    <s v="Martin Garrix"/>
    <x v="4"/>
    <n v="16842"/>
  </r>
  <r>
    <x v="1"/>
    <s v="Diljit Dosanjh"/>
    <x v="5"/>
    <n v="14456"/>
  </r>
  <r>
    <x v="8"/>
    <s v="Badshah"/>
    <x v="0"/>
    <n v="25243"/>
  </r>
  <r>
    <x v="5"/>
    <s v="Honey Singh"/>
    <x v="1"/>
    <n v="13539"/>
  </r>
  <r>
    <x v="6"/>
    <s v="Badshah"/>
    <x v="0"/>
    <n v="36462"/>
  </r>
  <r>
    <x v="3"/>
    <s v="Badshah"/>
    <x v="0"/>
    <n v="32540"/>
  </r>
  <r>
    <x v="8"/>
    <s v="Honey Singh"/>
    <x v="1"/>
    <n v="9316"/>
  </r>
  <r>
    <x v="1"/>
    <s v="DJ Snake"/>
    <x v="4"/>
    <n v="17172"/>
  </r>
  <r>
    <x v="2"/>
    <s v="Honey Singh"/>
    <x v="1"/>
    <n v="16737"/>
  </r>
  <r>
    <x v="9"/>
    <s v="Shreya Ghoshal"/>
    <x v="3"/>
    <n v="35304"/>
  </r>
  <r>
    <x v="0"/>
    <s v="Honey Singh"/>
    <x v="1"/>
    <n v="16841"/>
  </r>
  <r>
    <x v="3"/>
    <s v="Bryan Adams"/>
    <x v="2"/>
    <n v="18210.5"/>
  </r>
  <r>
    <x v="1"/>
    <s v="Diljit Dosanjh"/>
    <x v="5"/>
    <n v="58687.199999999997"/>
  </r>
  <r>
    <x v="2"/>
    <s v="Diljit Dosanjh"/>
    <x v="5"/>
    <n v="7559.5"/>
  </r>
  <r>
    <x v="2"/>
    <s v="Martin Garrix"/>
    <x v="4"/>
    <n v="31745"/>
  </r>
  <r>
    <x v="7"/>
    <s v="Mika Singh"/>
    <x v="0"/>
    <n v="12688"/>
  </r>
  <r>
    <x v="9"/>
    <s v="Mika Singh"/>
    <x v="0"/>
    <n v="20276"/>
  </r>
  <r>
    <x v="4"/>
    <s v="Badshah"/>
    <x v="0"/>
    <n v="21248.01"/>
  </r>
  <r>
    <x v="3"/>
    <s v="Diljit Dosanjh"/>
    <x v="5"/>
    <n v="56160"/>
  </r>
  <r>
    <x v="9"/>
    <s v="Diljit Dosanjh"/>
    <x v="5"/>
    <n v="34043.1"/>
  </r>
  <r>
    <x v="0"/>
    <s v="Badshah"/>
    <x v="0"/>
    <n v="34318"/>
  </r>
  <r>
    <x v="9"/>
    <s v="Mika Singh"/>
    <x v="0"/>
    <n v="22029"/>
  </r>
  <r>
    <x v="5"/>
    <s v="Diljit Dosanjh"/>
    <x v="5"/>
    <n v="52642.2"/>
  </r>
  <r>
    <x v="7"/>
    <s v="Diljit Dosanjh"/>
    <x v="5"/>
    <n v="28345.200000000001"/>
  </r>
  <r>
    <x v="3"/>
    <s v="Mika Singh"/>
    <x v="0"/>
    <n v="31752"/>
  </r>
  <r>
    <x v="2"/>
    <s v="Arijit Singh"/>
    <x v="0"/>
    <n v="7651"/>
  </r>
  <r>
    <x v="9"/>
    <s v="Ed Sheeran"/>
    <x v="6"/>
    <n v="6000"/>
  </r>
  <r>
    <x v="5"/>
    <s v="Diljit Dosanjh"/>
    <x v="5"/>
    <n v="32925.1"/>
  </r>
  <r>
    <x v="4"/>
    <s v="Bryan Adams"/>
    <x v="2"/>
    <n v="9412.2000000000007"/>
  </r>
  <r>
    <x v="3"/>
    <s v="Arijit Singh"/>
    <x v="0"/>
    <n v="17457"/>
  </r>
  <r>
    <x v="5"/>
    <s v="Martin Garrix"/>
    <x v="4"/>
    <n v="23456"/>
  </r>
  <r>
    <x v="3"/>
    <s v="Bryan Adams"/>
    <x v="2"/>
    <n v="12636.4"/>
  </r>
  <r>
    <x v="4"/>
    <s v="Honey Singh"/>
    <x v="1"/>
    <n v="26922"/>
  </r>
  <r>
    <x v="4"/>
    <s v="Bryan Adams"/>
    <x v="2"/>
    <n v="23400.3"/>
  </r>
  <r>
    <x v="6"/>
    <s v="Shreya Ghoshal"/>
    <x v="3"/>
    <n v="11366.6"/>
  </r>
  <r>
    <x v="3"/>
    <s v="Shreya Ghoshal"/>
    <x v="3"/>
    <n v="21249.01"/>
  </r>
  <r>
    <x v="8"/>
    <s v="Bryan Adams"/>
    <x v="2"/>
    <n v="19021.099999999999"/>
  </r>
  <r>
    <x v="5"/>
    <s v="Shreya Ghoshal"/>
    <x v="3"/>
    <n v="31020"/>
  </r>
  <r>
    <x v="5"/>
    <s v="Mika Singh"/>
    <x v="0"/>
    <n v="5456"/>
  </r>
  <r>
    <x v="5"/>
    <s v="Arijit Singh"/>
    <x v="0"/>
    <n v="37167.599999999999"/>
  </r>
  <r>
    <x v="3"/>
    <s v="DJ Snake"/>
    <x v="4"/>
    <n v="11355"/>
  </r>
  <r>
    <x v="1"/>
    <s v="Arijit Singh"/>
    <x v="0"/>
    <n v="27719"/>
  </r>
  <r>
    <x v="4"/>
    <s v="Honey Singh"/>
    <x v="1"/>
    <n v="35877"/>
  </r>
  <r>
    <x v="0"/>
    <s v="Badshah"/>
    <x v="0"/>
    <n v="8270"/>
  </r>
  <r>
    <x v="4"/>
    <s v="Ed Sheeran"/>
    <x v="6"/>
    <n v="46028"/>
  </r>
  <r>
    <x v="3"/>
    <s v="Honey Singh"/>
    <x v="1"/>
    <n v="9560"/>
  </r>
  <r>
    <x v="3"/>
    <s v="Arijit Singh"/>
    <x v="0"/>
    <n v="13578"/>
  </r>
  <r>
    <x v="6"/>
    <s v="DJ Snake"/>
    <x v="4"/>
    <n v="40916"/>
  </r>
  <r>
    <x v="9"/>
    <s v="Honey Singh"/>
    <x v="1"/>
    <n v="13994"/>
  </r>
  <r>
    <x v="2"/>
    <s v="Badshah"/>
    <x v="0"/>
    <n v="14499"/>
  </r>
  <r>
    <x v="4"/>
    <s v="DJ Snake"/>
    <x v="4"/>
    <n v="15002"/>
  </r>
  <r>
    <x v="3"/>
    <s v="DJ Snake"/>
    <x v="4"/>
    <n v="23169"/>
  </r>
  <r>
    <x v="4"/>
    <s v="DJ Snake"/>
    <x v="4"/>
    <n v="21248.01"/>
  </r>
  <r>
    <x v="6"/>
    <s v="Mika Singh"/>
    <x v="0"/>
    <n v="4240"/>
  </r>
  <r>
    <x v="1"/>
    <s v="Bryan Adams"/>
    <x v="2"/>
    <n v="21681.1"/>
  </r>
  <r>
    <x v="6"/>
    <s v="Honey Singh"/>
    <x v="1"/>
    <n v="32900"/>
  </r>
  <r>
    <x v="6"/>
    <s v="Bryan Adams"/>
    <x v="2"/>
    <n v="11366.6"/>
  </r>
  <r>
    <x v="1"/>
    <s v="Shreya Ghoshal"/>
    <x v="3"/>
    <n v="5362"/>
  </r>
  <r>
    <x v="9"/>
    <s v="Martin Garrix"/>
    <x v="4"/>
    <n v="6748"/>
  </r>
  <r>
    <x v="5"/>
    <s v="Arijit Singh"/>
    <x v="0"/>
    <n v="11979"/>
  </r>
  <r>
    <x v="0"/>
    <s v="Diljit Dosanjh"/>
    <x v="5"/>
    <n v="45372.6"/>
  </r>
  <r>
    <x v="5"/>
    <s v="Martin Garrix"/>
    <x v="4"/>
    <n v="17678"/>
  </r>
  <r>
    <x v="2"/>
    <s v="Badshah"/>
    <x v="0"/>
    <n v="11076"/>
  </r>
  <r>
    <x v="7"/>
    <s v="Arijit Singh"/>
    <x v="0"/>
    <n v="9525"/>
  </r>
  <r>
    <x v="8"/>
    <s v="Ed Sheeran"/>
    <x v="6"/>
    <n v="21248.01"/>
  </r>
  <r>
    <x v="4"/>
    <s v="Arijit Singh"/>
    <x v="0"/>
    <n v="7762"/>
  </r>
  <r>
    <x v="4"/>
    <s v="Arijit Singh"/>
    <x v="0"/>
    <n v="27598"/>
  </r>
  <r>
    <x v="7"/>
    <s v="Arijit Singh"/>
    <x v="0"/>
    <n v="8702"/>
  </r>
  <r>
    <x v="2"/>
    <s v="Shreya Ghoshal"/>
    <x v="3"/>
    <n v="8214"/>
  </r>
  <r>
    <x v="8"/>
    <s v="Bryan Adams"/>
    <x v="2"/>
    <n v="21248.01"/>
  </r>
  <r>
    <x v="5"/>
    <s v="DJ Snake"/>
    <x v="4"/>
    <n v="18095"/>
  </r>
  <r>
    <x v="5"/>
    <s v="Mika Singh"/>
    <x v="0"/>
    <n v="38295"/>
  </r>
  <r>
    <x v="3"/>
    <s v="Mika Singh"/>
    <x v="0"/>
    <n v="39893"/>
  </r>
  <r>
    <x v="2"/>
    <s v="Ed Sheeran"/>
    <x v="6"/>
    <n v="14283"/>
  </r>
  <r>
    <x v="0"/>
    <s v="Badshah"/>
    <x v="0"/>
    <n v="8925"/>
  </r>
  <r>
    <x v="1"/>
    <s v="Arijit Singh"/>
    <x v="0"/>
    <n v="4885"/>
  </r>
  <r>
    <x v="4"/>
    <s v="Honey Singh"/>
    <x v="1"/>
    <n v="4425"/>
  </r>
  <r>
    <x v="3"/>
    <s v="Mika Singh"/>
    <x v="0"/>
    <n v="371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5BC177-0D11-4BB2-AF32-67FE45C88C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2:N14" firstHeaderRow="1" firstDataRow="2" firstDataCol="1"/>
  <pivotFields count="4">
    <pivotField axis="axisRow" showAll="0">
      <items count="11">
        <item x="8"/>
        <item x="2"/>
        <item x="9"/>
        <item x="1"/>
        <item x="3"/>
        <item x="5"/>
        <item x="0"/>
        <item x="7"/>
        <item x="4"/>
        <item x="6"/>
        <item t="default"/>
      </items>
    </pivotField>
    <pivotField showAll="0"/>
    <pivotField axis="axisCol" showAll="0">
      <items count="8">
        <item x="0"/>
        <item x="3"/>
        <item x="4"/>
        <item x="1"/>
        <item x="6"/>
        <item x="5"/>
        <item x="2"/>
        <item t="default"/>
      </items>
    </pivotField>
    <pivotField dataField="1" showAll="0"/>
  </pivotFields>
  <rowFields count="1">
    <field x="0"/>
  </rowFields>
  <rowItems count="11">
    <i>
      <x/>
    </i>
    <i>
      <x v="1"/>
    </i>
    <i>
      <x v="2"/>
    </i>
    <i>
      <x v="3"/>
    </i>
    <i>
      <x v="4"/>
    </i>
    <i>
      <x v="5"/>
    </i>
    <i>
      <x v="6"/>
    </i>
    <i>
      <x v="7"/>
    </i>
    <i>
      <x v="8"/>
    </i>
    <i>
      <x v="9"/>
    </i>
    <i t="grand">
      <x/>
    </i>
  </rowItems>
  <colFields count="1">
    <field x="2"/>
  </colFields>
  <colItems count="8">
    <i>
      <x/>
    </i>
    <i>
      <x v="1"/>
    </i>
    <i>
      <x v="2"/>
    </i>
    <i>
      <x v="3"/>
    </i>
    <i>
      <x v="4"/>
    </i>
    <i>
      <x v="5"/>
    </i>
    <i>
      <x v="6"/>
    </i>
    <i t="grand">
      <x/>
    </i>
  </colItems>
  <dataFields count="1">
    <dataField name="Sum of Attendance" fld="3" baseField="0" baseItem="0"/>
  </dataField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EB499066-B9A0-45F5-AFB6-54298B9C3959}" autoFormatId="16" applyNumberFormats="0" applyBorderFormats="0" applyFontFormats="0" applyPatternFormats="0" applyAlignmentFormats="0" applyWidthHeightFormats="0">
  <queryTableRefresh nextId="12">
    <queryTableFields count="11">
      <queryTableField id="1" name="Festival_Name" tableColumnId="1"/>
      <queryTableField id="2" name="City" tableColumnId="2"/>
      <queryTableField id="3" name="Date" tableColumnId="3"/>
      <queryTableField id="4" name="Tour_Name" tableColumnId="4"/>
      <queryTableField id="5" name="Headlining_Artist" tableColumnId="5"/>
      <queryTableField id="6" name="Supporting_Artists" tableColumnId="6"/>
      <queryTableField id="7" name="Ticket_Price(Rs)" tableColumnId="7"/>
      <queryTableField id="8" name="Total_Attendance" tableColumnId="8"/>
      <queryTableField id="9" name="Merchandise_Sales (Rs)" tableColumnId="9"/>
      <queryTableField id="10" name="Sponsorship_Revenue (Rs)" tableColumnId="10"/>
      <queryTableField id="11" name="Total_Revenue (Rs)"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39C2A00-A320-4277-B1B2-645D0257DCCC}" autoFormatId="16" applyNumberFormats="0" applyBorderFormats="0" applyFontFormats="0" applyPatternFormats="0" applyAlignmentFormats="0" applyWidthHeightFormats="0">
  <queryTableRefresh nextId="10">
    <queryTableFields count="9">
      <queryTableField id="1" name="Artist_Name" tableColumnId="1"/>
      <queryTableField id="2" name="Genre" tableColumnId="2"/>
      <queryTableField id="3" name="Average_Ticket_Price" tableColumnId="3"/>
      <queryTableField id="4" name="Average_Attendance_Per_City" tableColumnId="4"/>
      <queryTableField id="5" name="Social_Media_Followers (millions)" tableColumnId="5"/>
      <queryTableField id="6" name="Streaming_Plays (millions)" tableColumnId="6"/>
      <queryTableField id="7" name="Merchandise_Revenue_Per_Concert (Rs)" tableColumnId="7"/>
      <queryTableField id="8" name="Tour_Impact" tableColumnId="8"/>
      <queryTableField id="9" name="Cities_Performed_In"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B901AA8A-6EEB-49F1-93C6-40D8138BB641}" autoFormatId="16" applyNumberFormats="0" applyBorderFormats="0" applyFontFormats="0" applyPatternFormats="0" applyAlignmentFormats="0" applyWidthHeightFormats="0">
  <queryTableRefresh nextId="12">
    <queryTableFields count="11">
      <queryTableField id="1" name="Festival_Name" tableColumnId="1"/>
      <queryTableField id="2" name="City" tableColumnId="2"/>
      <queryTableField id="3" name="Date" tableColumnId="3"/>
      <queryTableField id="4" name="Tour_Name" tableColumnId="4"/>
      <queryTableField id="5" name="Headlining_Artist" tableColumnId="5"/>
      <queryTableField id="6" name="Supporting_Artists" tableColumnId="6"/>
      <queryTableField id="7" name="Ticket_Price(Rs)" tableColumnId="7"/>
      <queryTableField id="8" name="Total_Attendance" tableColumnId="8"/>
      <queryTableField id="9" name="Merchandise_Sales (Rs)" tableColumnId="9"/>
      <queryTableField id="10" name="Sponsorship_Revenue (Rs)" tableColumnId="10"/>
      <queryTableField id="11" name="Total_Revenue (Rs)"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9F660DE8-3D02-4A87-B6A1-C603E501F523}" autoFormatId="16" applyNumberFormats="0" applyBorderFormats="0" applyFontFormats="0" applyPatternFormats="0" applyAlignmentFormats="0" applyWidthHeightFormats="0">
  <queryTableRefresh nextId="12">
    <queryTableFields count="11">
      <queryTableField id="1" name="Festival_Name" tableColumnId="1"/>
      <queryTableField id="2" name="City" tableColumnId="2"/>
      <queryTableField id="3" name="Date" tableColumnId="3"/>
      <queryTableField id="4" name="Tour_Name" tableColumnId="4"/>
      <queryTableField id="5" name="Headlining_Artist" tableColumnId="5"/>
      <queryTableField id="6" name="Supporting_Artists" tableColumnId="6"/>
      <queryTableField id="7" name="Ticket_Price(Rs)" tableColumnId="7"/>
      <queryTableField id="8" name="Total_Attendance" tableColumnId="8"/>
      <queryTableField id="9" name="Merchandise_Sales (Rs)" tableColumnId="9"/>
      <queryTableField id="10" name="Sponsorship_Revenue (Rs)" tableColumnId="10"/>
      <queryTableField id="11" name="Total_Revenue (Rs)"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4C1EA01C-EF1F-43FB-AA8C-264D11180D41}" autoFormatId="16" applyNumberFormats="0" applyBorderFormats="0" applyFontFormats="0" applyPatternFormats="0" applyAlignmentFormats="0" applyWidthHeightFormats="0">
  <queryTableRefresh nextId="10">
    <queryTableFields count="9">
      <queryTableField id="1" name="Artist_Name" tableColumnId="1"/>
      <queryTableField id="2" name="Genre" tableColumnId="2"/>
      <queryTableField id="3" name="Average_Ticket_Price" tableColumnId="3"/>
      <queryTableField id="4" name="Average_Attendance_Per_City" tableColumnId="4"/>
      <queryTableField id="5" name="Social_Media_Followers (millions)" tableColumnId="5"/>
      <queryTableField id="6" name="Streaming_Plays (millions)" tableColumnId="6"/>
      <queryTableField id="7" name="Merchandise_Revenue_Per_Concert (Rs)" tableColumnId="7"/>
      <queryTableField id="8" name="Tour_Impact" tableColumnId="8"/>
      <queryTableField id="9" name="Cities_Performed_In"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B7F5FA5A-1DF3-447B-9D5B-A23E5C839277}" autoFormatId="16" applyNumberFormats="0" applyBorderFormats="0" applyFontFormats="0" applyPatternFormats="0" applyAlignmentFormats="0" applyWidthHeightFormats="0">
  <queryTableRefresh nextId="10">
    <queryTableFields count="9">
      <queryTableField id="1" name="Artist_Name" tableColumnId="1"/>
      <queryTableField id="2" name="Genre" tableColumnId="2"/>
      <queryTableField id="3" name="Average_Ticket_Price" tableColumnId="3"/>
      <queryTableField id="4" name="Average_Attendance_Per_City" tableColumnId="4"/>
      <queryTableField id="5" name="Social_Media_Followers (millions)" tableColumnId="5"/>
      <queryTableField id="6" name="Streaming_Plays (millions)" tableColumnId="6"/>
      <queryTableField id="7" name="Merchandise_Revenue_Per_Concert (Rs)" tableColumnId="7"/>
      <queryTableField id="8" name="Tour_Impact" tableColumnId="8"/>
      <queryTableField id="9" name="Cities_Performed_In"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798179-5610-4048-9686-2A4220431D55}" name="Music_Festival_Data" displayName="Music_Festival_Data" ref="A1:K101" tableType="queryTable" totalsRowShown="0">
  <autoFilter ref="A1:K101" xr:uid="{A9798179-5610-4048-9686-2A4220431D55}"/>
  <tableColumns count="11">
    <tableColumn id="1" xr3:uid="{9002A6A3-BF30-4557-8821-406A35F80D36}" uniqueName="1" name="Festival_Name" queryTableFieldId="1" dataDxfId="33"/>
    <tableColumn id="2" xr3:uid="{D14749B8-58A1-4F4A-A8F4-9A120D749E60}" uniqueName="2" name="City" queryTableFieldId="2" dataDxfId="32"/>
    <tableColumn id="3" xr3:uid="{F8EDDEC3-955B-4EAE-87EF-83C38CAF2175}" uniqueName="3" name="Date" queryTableFieldId="3" dataDxfId="31"/>
    <tableColumn id="4" xr3:uid="{9993FF60-97D4-4464-8C0F-52D43C4B2910}" uniqueName="4" name="Tour_Name" queryTableFieldId="4" dataDxfId="30"/>
    <tableColumn id="5" xr3:uid="{774CBCEE-80E3-4DF7-BEFE-D47B81B7F8C9}" uniqueName="5" name="Headlining_Artist" queryTableFieldId="5" dataDxfId="29"/>
    <tableColumn id="6" xr3:uid="{59A349FD-B863-48D2-864B-99E02C9C01E0}" uniqueName="6" name="Supporting_Artists" queryTableFieldId="6" dataDxfId="28"/>
    <tableColumn id="7" xr3:uid="{057C88C7-E6C8-47CE-B296-CF4FD81CE148}" uniqueName="7" name="Ticket_Price(Rs)" queryTableFieldId="7"/>
    <tableColumn id="8" xr3:uid="{131C53BF-410A-4257-B0CD-AE8B09CDDCE2}" uniqueName="8" name="Total_Attendance" queryTableFieldId="8"/>
    <tableColumn id="9" xr3:uid="{6B22A16E-CC0D-4C46-821C-660DD6B973FA}" uniqueName="9" name="Merchandise_Sales (Rs)" queryTableFieldId="9"/>
    <tableColumn id="10" xr3:uid="{CD13041D-574F-479B-8121-8B7C94AD8EF3}" uniqueName="10" name="Sponsorship_Revenue (Rs)" queryTableFieldId="10"/>
    <tableColumn id="11" xr3:uid="{1D668A43-55DB-448B-BB81-56FC20958F5E}" uniqueName="11" name="Total_Revenue (Rs)"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9E82A7-71F0-4AE0-A73C-000B2451D1C4}" name="Artist_Popularity_Data" displayName="Artist_Popularity_Data" ref="A1:I11" tableType="queryTable" totalsRowShown="0">
  <autoFilter ref="A1:I11" xr:uid="{379E82A7-71F0-4AE0-A73C-000B2451D1C4}"/>
  <tableColumns count="9">
    <tableColumn id="1" xr3:uid="{EA43F967-AB25-441C-9547-6A74CEFF6485}" uniqueName="1" name="Artist_Name" queryTableFieldId="1" dataDxfId="27"/>
    <tableColumn id="2" xr3:uid="{01A75E72-343E-470A-A053-B47506B087CF}" uniqueName="2" name="Genre" queryTableFieldId="2" dataDxfId="26"/>
    <tableColumn id="3" xr3:uid="{6358550C-A5A5-4C5D-801F-59A8A8AA51EE}" uniqueName="3" name="Average_Ticket_Price" queryTableFieldId="3"/>
    <tableColumn id="4" xr3:uid="{0A4D0034-E3BF-498A-BDA0-84C05BE9CBE6}" uniqueName="4" name="Average_Attendance_Per_City" queryTableFieldId="4"/>
    <tableColumn id="5" xr3:uid="{2EBD80CF-3263-4168-A295-A20D770DA19E}" uniqueName="5" name="Social_Media_Followers (millions)" queryTableFieldId="5"/>
    <tableColumn id="6" xr3:uid="{05CE200C-8A4C-43B1-AE8A-E1366B25193E}" uniqueName="6" name="Streaming_Plays (millions)" queryTableFieldId="6"/>
    <tableColumn id="7" xr3:uid="{0B263065-490F-4F18-90EB-054745E4ADB9}" uniqueName="7" name="Merchandise_Revenue_Per_Concert (Rs)" queryTableFieldId="7"/>
    <tableColumn id="8" xr3:uid="{351F4C90-7118-43BC-8716-9655DDB9C916}" uniqueName="8" name="Tour_Impact" queryTableFieldId="8" dataDxfId="25"/>
    <tableColumn id="9" xr3:uid="{E70F30CF-9DFB-45C3-9C17-7BDB5DCAD9F9}" uniqueName="9" name="Cities_Performed_In" queryTableFieldId="9"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2CD400-73EC-498C-B191-FFB0DE6FEE07}" name="Music_Festival_Data4" displayName="Music_Festival_Data4" ref="A1:K101" tableType="queryTable" totalsRowShown="0">
  <autoFilter ref="A1:K101" xr:uid="{A9798179-5610-4048-9686-2A4220431D55}"/>
  <tableColumns count="11">
    <tableColumn id="1" xr3:uid="{7EC9029C-8542-43D6-A1B1-212AF3839B07}" uniqueName="1" name="Festival_Name" queryTableFieldId="1" dataDxfId="23"/>
    <tableColumn id="2" xr3:uid="{27CDAE8D-6FC4-4251-8AAC-D31DAE577F09}" uniqueName="2" name="City" queryTableFieldId="2" dataDxfId="22"/>
    <tableColumn id="3" xr3:uid="{A753578A-1F77-408C-BF5F-24B0CBB330A4}" uniqueName="3" name="Date" queryTableFieldId="3" dataDxfId="21"/>
    <tableColumn id="4" xr3:uid="{9E65D6AF-B1DC-478D-AA19-DA641EE32E69}" uniqueName="4" name="Tour_Name" queryTableFieldId="4" dataDxfId="20"/>
    <tableColumn id="5" xr3:uid="{C8887FFF-E304-4E68-B6AF-0356AD12E94D}" uniqueName="5" name="Headlining_Artist" queryTableFieldId="5" dataDxfId="19"/>
    <tableColumn id="6" xr3:uid="{159852FA-64E6-418E-94F9-2ACA9AC952FE}" uniqueName="6" name="Supporting_Artists" queryTableFieldId="6" dataDxfId="18"/>
    <tableColumn id="7" xr3:uid="{5A481D9F-2284-4CD9-9A7D-C67E5CBD7BFA}" uniqueName="7" name="Ticket_Price(Rs)" queryTableFieldId="7"/>
    <tableColumn id="8" xr3:uid="{271C60A1-223C-493E-A487-55390440A685}" uniqueName="8" name="Total_Attendance" queryTableFieldId="8"/>
    <tableColumn id="9" xr3:uid="{4BBFA8F6-8C1D-4A0A-BC84-1A9989AC0D48}" uniqueName="9" name="Merchandise_Sales (Rs)" queryTableFieldId="9"/>
    <tableColumn id="10" xr3:uid="{9584D793-6735-4A2C-A27C-8F87A1C26407}" uniqueName="10" name="Sponsorship_Revenue (Rs)" queryTableFieldId="10"/>
    <tableColumn id="11" xr3:uid="{89EC7118-E44A-4906-8B7F-EDB69EA61341}" uniqueName="11" name="Total_Revenue (Rs)" queryTableField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B85E75-829A-4D93-821B-FA102BA8FEB4}" name="Music_Festival_Data46" displayName="Music_Festival_Data46" ref="A1:K101" tableType="queryTable" totalsRowShown="0">
  <autoFilter ref="A1:K101" xr:uid="{5EB85E75-829A-4D93-821B-FA102BA8FEB4}"/>
  <tableColumns count="11">
    <tableColumn id="1" xr3:uid="{A2357CFC-3AC3-4096-A1E7-DEABFDF90B56}" uniqueName="1" name="Festival_Name" queryTableFieldId="1" dataDxfId="9"/>
    <tableColumn id="2" xr3:uid="{F0B2CBD2-3025-4A89-A8E0-7910582C9FD5}" uniqueName="2" name="City" queryTableFieldId="2" dataDxfId="8"/>
    <tableColumn id="3" xr3:uid="{B11EAD94-B5BC-4B85-9160-FE63F318B12E}" uniqueName="3" name="Date" queryTableFieldId="3" dataDxfId="7"/>
    <tableColumn id="4" xr3:uid="{78A8E192-81AC-4462-B926-E3889BF1A696}" uniqueName="4" name="Tour_Name" queryTableFieldId="4" dataDxfId="6"/>
    <tableColumn id="5" xr3:uid="{BEEE2894-E80C-489C-BDFE-F7A43BEC03CB}" uniqueName="5" name="Headlining_Artist" queryTableFieldId="5" dataDxfId="5"/>
    <tableColumn id="6" xr3:uid="{64073B3A-CE73-45A1-BD18-C36AC6961588}" uniqueName="6" name="Supporting_Artists" queryTableFieldId="6" dataDxfId="4"/>
    <tableColumn id="7" xr3:uid="{C319B09F-3F77-4547-8FFC-07847C0133DB}" uniqueName="7" name="Ticket_Price(Rs)" queryTableFieldId="7"/>
    <tableColumn id="8" xr3:uid="{F1C966E1-A36B-41BD-9143-B12335411D8E}" uniqueName="8" name="Total_Attendance" queryTableFieldId="8"/>
    <tableColumn id="9" xr3:uid="{84CB02A4-A424-4A28-9AB8-55A09D0DDF24}" uniqueName="9" name="Merchandise_Sales (Rs)" queryTableFieldId="9"/>
    <tableColumn id="10" xr3:uid="{B9B01BE6-DBEC-43AA-ABA9-F363D9A06F09}" uniqueName="10" name="Sponsorship_Revenue (Rs)" queryTableFieldId="10"/>
    <tableColumn id="11" xr3:uid="{15B34394-E08C-4360-A111-4D30C661AE4C}" uniqueName="11" name="Total_Revenue (Rs)" queryTableField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AD6C2F-8E23-4453-B059-617640A09470}" name="Artist_Popularity_Data5" displayName="Artist_Popularity_Data5" ref="A1:I11" tableType="queryTable" totalsRowShown="0">
  <autoFilter ref="A1:I11" xr:uid="{379E82A7-71F0-4AE0-A73C-000B2451D1C4}"/>
  <tableColumns count="9">
    <tableColumn id="1" xr3:uid="{A9D4C13D-7EDB-4A0A-A701-F5B109D516FA}" uniqueName="1" name="Artist_Name" queryTableFieldId="1" dataDxfId="17"/>
    <tableColumn id="2" xr3:uid="{36370FC8-C405-4717-9321-1F66DAE44502}" uniqueName="2" name="Genre" queryTableFieldId="2" dataDxfId="16"/>
    <tableColumn id="3" xr3:uid="{9F9B1B79-7EBE-4604-B362-52CCB8117737}" uniqueName="3" name="Average_Ticket_Price" queryTableFieldId="3"/>
    <tableColumn id="4" xr3:uid="{22AD815F-B203-48A9-8B42-8AB80FED3AD8}" uniqueName="4" name="Average_Attendance_Per_City" queryTableFieldId="4"/>
    <tableColumn id="5" xr3:uid="{4A930FAF-18C6-4515-BFE7-5962457294FC}" uniqueName="5" name="Social_Media_Followers (millions)" queryTableFieldId="5"/>
    <tableColumn id="6" xr3:uid="{69917769-E3CF-4BDA-9DC0-97C7D3AB90E5}" uniqueName="6" name="Streaming_Plays (millions)" queryTableFieldId="6"/>
    <tableColumn id="7" xr3:uid="{14731269-8D4F-49F4-B7BE-4BEDDE7C379B}" uniqueName="7" name="Merchandise_Revenue_Per_Concert (Rs)" queryTableFieldId="7"/>
    <tableColumn id="8" xr3:uid="{288B9C55-D3CA-4F8F-B313-5497F5A14EDD}" uniqueName="8" name="Tour_Impact" queryTableFieldId="8" dataDxfId="15"/>
    <tableColumn id="9" xr3:uid="{0DF3A2DE-883E-452C-8FD5-F5FD2B78EAA9}" uniqueName="9" name="Cities_Performed_In" queryTableFieldId="9" dataDxfId="1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52A907-7FE7-4D54-A3D3-1904B7A3CA60}" name="Artist_Popularity_Data58" displayName="Artist_Popularity_Data58" ref="A1:I11" tableType="queryTable" totalsRowShown="0">
  <autoFilter ref="A1:I11" xr:uid="{EB52A907-7FE7-4D54-A3D3-1904B7A3CA60}"/>
  <tableColumns count="9">
    <tableColumn id="1" xr3:uid="{A387D4AC-BC45-4929-A61F-7EE8AF8D83DF}" uniqueName="1" name="Artist_Name" queryTableFieldId="1" dataDxfId="3"/>
    <tableColumn id="2" xr3:uid="{D61DFE3F-AF30-4006-8FB0-C6312CFA7344}" uniqueName="2" name="Genre" queryTableFieldId="2" dataDxfId="2"/>
    <tableColumn id="3" xr3:uid="{B6E1A782-AA91-41C0-A78B-2B20396D1135}" uniqueName="3" name="Average_Ticket_Price" queryTableFieldId="3"/>
    <tableColumn id="4" xr3:uid="{126B06C0-73CD-416B-ABB2-4DEDF60351D8}" uniqueName="4" name="Average_Attendance_Per_City" queryTableFieldId="4"/>
    <tableColumn id="5" xr3:uid="{8DC561AA-D1E3-4D18-B808-F1B7AF9EB5AD}" uniqueName="5" name="Social_Media_Followers (millions)" queryTableFieldId="5"/>
    <tableColumn id="6" xr3:uid="{3A19BCD4-1498-4317-9F51-BCB95513E1F9}" uniqueName="6" name="Streaming_Plays (millions)" queryTableFieldId="6"/>
    <tableColumn id="7" xr3:uid="{BDD4AD4F-4192-4463-8CF9-21FF2491F9A8}" uniqueName="7" name="Merchandise_Revenue_Per_Concert (Rs)" queryTableFieldId="7"/>
    <tableColumn id="8" xr3:uid="{F3FEEFEE-0C33-45E0-9039-D7C1854E43A3}" uniqueName="8" name="Tour_Impact" queryTableFieldId="8" dataDxfId="1"/>
    <tableColumn id="9" xr3:uid="{4D8A08C2-64FA-455E-B92F-A8979769BBF9}" uniqueName="9" name="Cities_Performed_In" queryTableFieldId="9" dataDxfId="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486DD9A-FDC3-41B8-8C02-0001F72AF4D9}" name="Table6" displayName="Table6" ref="F1:H5" totalsRowShown="0" headerRowDxfId="13">
  <autoFilter ref="F1:H5" xr:uid="{D486DD9A-FDC3-41B8-8C02-0001F72AF4D9}"/>
  <sortState xmlns:xlrd2="http://schemas.microsoft.com/office/spreadsheetml/2017/richdata2" ref="F2:H5">
    <sortCondition descending="1" ref="G2:G5"/>
  </sortState>
  <tableColumns count="3">
    <tableColumn id="1" xr3:uid="{3CEA635D-69B8-426C-9A86-EB28F203293A}" name="Price Category"/>
    <tableColumn id="2" xr3:uid="{CC3A1A10-C2EF-4A90-A463-5D0A80DD787E}" name="Avg Sponsorship Revenue" dataDxfId="12">
      <calculatedColumnFormula>AVERAGEIF($D$2:$D$101,F2,$C$2:$C$101)</calculatedColumnFormula>
    </tableColumn>
    <tableColumn id="3" xr3:uid="{E4AFB4EE-E04E-46DA-AF0E-1956C48E813A}" name="Festival Count">
      <calculatedColumnFormula>COUNTIF($D$2:$D$101,F2)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F7DE7-065E-4425-B0B6-C244BF137AB4}">
  <sheetPr codeName="Sheet1"/>
  <dimension ref="A1:K101"/>
  <sheetViews>
    <sheetView workbookViewId="0">
      <selection activeCell="J1" sqref="J1:J1048576"/>
    </sheetView>
  </sheetViews>
  <sheetFormatPr defaultRowHeight="14.4"/>
  <cols>
    <col min="1" max="1" width="22.33203125" bestFit="1" customWidth="1"/>
    <col min="2" max="2" width="10.109375" bestFit="1" customWidth="1"/>
    <col min="3" max="3" width="10.33203125" bestFit="1" customWidth="1"/>
    <col min="4" max="4" width="16.5546875" bestFit="1" customWidth="1"/>
    <col min="5" max="5" width="17.6640625" bestFit="1" customWidth="1"/>
    <col min="6" max="6" width="45.21875" bestFit="1" customWidth="1"/>
    <col min="7" max="7" width="16.6640625" bestFit="1" customWidth="1"/>
    <col min="8" max="8" width="18.33203125" bestFit="1" customWidth="1"/>
    <col min="9" max="9" width="23.21875" bestFit="1" customWidth="1"/>
    <col min="10" max="10" width="25.88671875" bestFit="1" customWidth="1"/>
    <col min="11" max="11" width="19.6640625" bestFit="1" customWidth="1"/>
  </cols>
  <sheetData>
    <row r="1" spans="1:11">
      <c r="A1" t="s">
        <v>38</v>
      </c>
      <c r="B1" t="s">
        <v>39</v>
      </c>
      <c r="C1" t="s">
        <v>40</v>
      </c>
      <c r="D1" t="s">
        <v>41</v>
      </c>
      <c r="E1" t="s">
        <v>42</v>
      </c>
      <c r="F1" t="s">
        <v>43</v>
      </c>
      <c r="G1" t="s">
        <v>44</v>
      </c>
      <c r="H1" t="s">
        <v>45</v>
      </c>
      <c r="I1" t="s">
        <v>46</v>
      </c>
      <c r="J1" t="s">
        <v>47</v>
      </c>
      <c r="K1" t="s">
        <v>48</v>
      </c>
    </row>
    <row r="2" spans="1:11">
      <c r="A2" t="s">
        <v>49</v>
      </c>
      <c r="B2" t="s">
        <v>50</v>
      </c>
      <c r="C2" s="1">
        <v>45303</v>
      </c>
      <c r="D2" t="s">
        <v>51</v>
      </c>
      <c r="E2" t="s">
        <v>33</v>
      </c>
      <c r="F2" t="s">
        <v>52</v>
      </c>
      <c r="G2">
        <v>1253</v>
      </c>
      <c r="H2">
        <v>6166</v>
      </c>
      <c r="I2">
        <v>1942290</v>
      </c>
      <c r="J2">
        <v>3680408</v>
      </c>
      <c r="K2">
        <v>13348696</v>
      </c>
    </row>
    <row r="3" spans="1:11">
      <c r="A3" t="s">
        <v>53</v>
      </c>
      <c r="B3" t="s">
        <v>54</v>
      </c>
      <c r="C3" s="1">
        <v>45403</v>
      </c>
      <c r="D3" t="s">
        <v>51</v>
      </c>
      <c r="E3" t="s">
        <v>13</v>
      </c>
      <c r="F3" t="s">
        <v>55</v>
      </c>
      <c r="G3">
        <v>1689</v>
      </c>
      <c r="H3">
        <v>40643</v>
      </c>
      <c r="I3">
        <v>16622987</v>
      </c>
      <c r="J3">
        <v>2589481</v>
      </c>
      <c r="K3">
        <v>87858495</v>
      </c>
    </row>
    <row r="4" spans="1:11">
      <c r="A4" t="s">
        <v>49</v>
      </c>
      <c r="B4" t="s">
        <v>56</v>
      </c>
      <c r="C4" s="1">
        <v>45553</v>
      </c>
      <c r="D4" t="s">
        <v>57</v>
      </c>
      <c r="E4" t="s">
        <v>25</v>
      </c>
      <c r="F4" t="s">
        <v>58</v>
      </c>
      <c r="G4">
        <v>6813.8</v>
      </c>
      <c r="H4">
        <v>17889.900000000001</v>
      </c>
      <c r="I4">
        <v>7667100</v>
      </c>
      <c r="J4">
        <v>640053</v>
      </c>
      <c r="K4">
        <v>132693072</v>
      </c>
    </row>
    <row r="5" spans="1:11">
      <c r="A5" t="s">
        <v>59</v>
      </c>
      <c r="B5" t="s">
        <v>60</v>
      </c>
      <c r="C5" s="1">
        <v>45353</v>
      </c>
      <c r="D5" t="s">
        <v>51</v>
      </c>
      <c r="E5" t="s">
        <v>13</v>
      </c>
      <c r="F5" t="s">
        <v>61</v>
      </c>
      <c r="G5">
        <v>2144</v>
      </c>
      <c r="H5">
        <v>14688</v>
      </c>
      <c r="I5">
        <v>2350080</v>
      </c>
      <c r="J5">
        <v>2712686</v>
      </c>
      <c r="K5">
        <v>36553838</v>
      </c>
    </row>
    <row r="6" spans="1:11">
      <c r="A6" t="s">
        <v>62</v>
      </c>
      <c r="B6" t="s">
        <v>63</v>
      </c>
      <c r="C6" s="1">
        <v>45454</v>
      </c>
      <c r="D6" t="s">
        <v>64</v>
      </c>
      <c r="E6" t="s">
        <v>20</v>
      </c>
      <c r="F6" t="s">
        <v>65</v>
      </c>
      <c r="G6">
        <v>1886</v>
      </c>
      <c r="H6">
        <v>35244</v>
      </c>
      <c r="I6">
        <v>6132456</v>
      </c>
      <c r="J6">
        <v>1181193</v>
      </c>
      <c r="K6">
        <v>73783833</v>
      </c>
    </row>
    <row r="7" spans="1:11">
      <c r="A7" t="s">
        <v>53</v>
      </c>
      <c r="B7" t="s">
        <v>66</v>
      </c>
      <c r="C7" s="1">
        <v>45437</v>
      </c>
      <c r="D7" t="s">
        <v>51</v>
      </c>
      <c r="E7" t="s">
        <v>17</v>
      </c>
      <c r="F7" t="s">
        <v>67</v>
      </c>
      <c r="G7">
        <v>3984</v>
      </c>
      <c r="I7">
        <v>2252122</v>
      </c>
      <c r="J7">
        <v>2302603</v>
      </c>
      <c r="K7">
        <v>58605653</v>
      </c>
    </row>
    <row r="8" spans="1:11">
      <c r="A8" t="s">
        <v>53</v>
      </c>
      <c r="B8" t="s">
        <v>60</v>
      </c>
      <c r="C8" s="1">
        <v>45371</v>
      </c>
      <c r="D8" t="s">
        <v>57</v>
      </c>
      <c r="E8" t="s">
        <v>25</v>
      </c>
      <c r="F8" t="s">
        <v>68</v>
      </c>
      <c r="H8">
        <v>18778.2</v>
      </c>
      <c r="I8">
        <v>4828680</v>
      </c>
      <c r="J8">
        <v>4948076</v>
      </c>
      <c r="K8">
        <v>111635078</v>
      </c>
    </row>
    <row r="9" spans="1:11">
      <c r="A9" t="s">
        <v>49</v>
      </c>
      <c r="B9" t="s">
        <v>63</v>
      </c>
      <c r="C9" s="1">
        <v>45462</v>
      </c>
      <c r="D9" t="s">
        <v>51</v>
      </c>
      <c r="E9" t="s">
        <v>33</v>
      </c>
      <c r="F9" t="s">
        <v>69</v>
      </c>
      <c r="G9">
        <v>840</v>
      </c>
      <c r="H9">
        <v>33535</v>
      </c>
      <c r="I9">
        <v>12206740</v>
      </c>
      <c r="J9">
        <v>1201595</v>
      </c>
      <c r="K9">
        <v>41577735</v>
      </c>
    </row>
    <row r="10" spans="1:11">
      <c r="A10" t="s">
        <v>70</v>
      </c>
      <c r="B10" t="s">
        <v>54</v>
      </c>
      <c r="C10" s="1">
        <v>45440</v>
      </c>
      <c r="D10" t="s">
        <v>51</v>
      </c>
      <c r="E10" t="s">
        <v>35</v>
      </c>
      <c r="F10" t="s">
        <v>71</v>
      </c>
      <c r="G10">
        <v>4191</v>
      </c>
      <c r="I10">
        <v>4279770</v>
      </c>
      <c r="J10">
        <v>3427104</v>
      </c>
      <c r="K10">
        <v>81824709</v>
      </c>
    </row>
    <row r="11" spans="1:11">
      <c r="A11" t="s">
        <v>72</v>
      </c>
      <c r="B11" t="s">
        <v>50</v>
      </c>
      <c r="C11" s="1">
        <v>45319</v>
      </c>
      <c r="D11" t="s">
        <v>51</v>
      </c>
      <c r="E11" t="s">
        <v>13</v>
      </c>
      <c r="F11" t="s">
        <v>73</v>
      </c>
      <c r="G11">
        <v>1823</v>
      </c>
      <c r="H11">
        <v>15513</v>
      </c>
      <c r="I11">
        <v>7539318</v>
      </c>
      <c r="J11">
        <v>3948781</v>
      </c>
      <c r="K11">
        <v>39768298</v>
      </c>
    </row>
    <row r="12" spans="1:11">
      <c r="A12" t="s">
        <v>62</v>
      </c>
      <c r="B12" t="s">
        <v>66</v>
      </c>
      <c r="C12" s="1">
        <v>45462</v>
      </c>
      <c r="D12" t="s">
        <v>51</v>
      </c>
      <c r="E12" t="s">
        <v>28</v>
      </c>
      <c r="F12" t="s">
        <v>74</v>
      </c>
      <c r="G12">
        <v>3953.6</v>
      </c>
      <c r="H12">
        <v>21693</v>
      </c>
      <c r="I12">
        <v>9306297</v>
      </c>
      <c r="J12">
        <v>4798020</v>
      </c>
      <c r="K12">
        <v>75365349</v>
      </c>
    </row>
    <row r="13" spans="1:11">
      <c r="A13" t="s">
        <v>75</v>
      </c>
      <c r="B13" t="s">
        <v>60</v>
      </c>
      <c r="C13" s="1">
        <v>45649</v>
      </c>
      <c r="D13" t="s">
        <v>51</v>
      </c>
      <c r="E13" t="s">
        <v>35</v>
      </c>
      <c r="F13" t="s">
        <v>76</v>
      </c>
      <c r="G13">
        <v>2842</v>
      </c>
      <c r="H13">
        <v>24021</v>
      </c>
      <c r="I13">
        <v>5020389</v>
      </c>
      <c r="J13">
        <v>2851905</v>
      </c>
      <c r="K13">
        <v>76139976</v>
      </c>
    </row>
    <row r="14" spans="1:11">
      <c r="A14" t="s">
        <v>77</v>
      </c>
      <c r="B14" t="s">
        <v>78</v>
      </c>
      <c r="C14" s="1">
        <v>45428</v>
      </c>
      <c r="D14" t="s">
        <v>79</v>
      </c>
      <c r="E14" t="s">
        <v>9</v>
      </c>
      <c r="F14" t="s">
        <v>80</v>
      </c>
      <c r="G14">
        <v>528</v>
      </c>
      <c r="H14">
        <v>33241</v>
      </c>
      <c r="I14">
        <v>2659280</v>
      </c>
      <c r="J14">
        <v>3167786</v>
      </c>
      <c r="K14">
        <v>19328026</v>
      </c>
    </row>
    <row r="15" spans="1:11">
      <c r="A15" t="s">
        <v>81</v>
      </c>
      <c r="B15" t="s">
        <v>82</v>
      </c>
      <c r="C15" s="1">
        <v>45644</v>
      </c>
      <c r="D15" t="s">
        <v>51</v>
      </c>
      <c r="E15" t="s">
        <v>31</v>
      </c>
      <c r="F15" t="s">
        <v>83</v>
      </c>
      <c r="G15">
        <v>1543</v>
      </c>
      <c r="H15">
        <v>19867</v>
      </c>
      <c r="I15">
        <v>2821114</v>
      </c>
      <c r="J15">
        <v>2897760</v>
      </c>
      <c r="K15">
        <v>36373655</v>
      </c>
    </row>
    <row r="16" spans="1:11">
      <c r="A16" t="s">
        <v>62</v>
      </c>
      <c r="B16" t="s">
        <v>84</v>
      </c>
      <c r="C16" s="1">
        <v>45344</v>
      </c>
      <c r="D16" t="s">
        <v>51</v>
      </c>
      <c r="E16" t="s">
        <v>35</v>
      </c>
      <c r="F16" t="s">
        <v>85</v>
      </c>
      <c r="G16">
        <v>2188</v>
      </c>
      <c r="H16">
        <v>20603</v>
      </c>
      <c r="I16">
        <v>9559792</v>
      </c>
      <c r="J16">
        <v>4600450</v>
      </c>
      <c r="K16">
        <v>59239606</v>
      </c>
    </row>
    <row r="17" spans="1:11">
      <c r="A17" t="s">
        <v>59</v>
      </c>
      <c r="B17" t="s">
        <v>50</v>
      </c>
      <c r="C17" s="1">
        <v>45581</v>
      </c>
      <c r="D17" t="s">
        <v>57</v>
      </c>
      <c r="E17" t="s">
        <v>25</v>
      </c>
      <c r="F17" t="s">
        <v>86</v>
      </c>
      <c r="G17">
        <v>2217.6</v>
      </c>
      <c r="H17">
        <v>9504.6</v>
      </c>
      <c r="I17">
        <v>5892852</v>
      </c>
      <c r="J17">
        <v>795307</v>
      </c>
      <c r="K17">
        <v>28195711</v>
      </c>
    </row>
    <row r="18" spans="1:11">
      <c r="A18" t="s">
        <v>72</v>
      </c>
      <c r="B18" t="s">
        <v>54</v>
      </c>
      <c r="C18" s="1">
        <v>45455</v>
      </c>
      <c r="D18" t="s">
        <v>57</v>
      </c>
      <c r="E18" t="s">
        <v>25</v>
      </c>
      <c r="F18" t="s">
        <v>87</v>
      </c>
      <c r="G18">
        <v>5397</v>
      </c>
      <c r="H18">
        <v>9158.1</v>
      </c>
      <c r="I18">
        <v>1687707</v>
      </c>
      <c r="J18">
        <v>2188470</v>
      </c>
      <c r="K18">
        <v>54311142</v>
      </c>
    </row>
    <row r="19" spans="1:11">
      <c r="A19" t="s">
        <v>53</v>
      </c>
      <c r="B19" t="s">
        <v>78</v>
      </c>
      <c r="C19" s="1">
        <v>45384</v>
      </c>
      <c r="D19" t="s">
        <v>88</v>
      </c>
      <c r="E19" t="s">
        <v>22</v>
      </c>
      <c r="F19" t="s">
        <v>89</v>
      </c>
      <c r="G19">
        <v>1601.6</v>
      </c>
      <c r="H19">
        <v>11790</v>
      </c>
      <c r="I19">
        <v>3030030</v>
      </c>
      <c r="J19">
        <v>3635278</v>
      </c>
      <c r="K19">
        <v>20153068</v>
      </c>
    </row>
    <row r="20" spans="1:11">
      <c r="A20" t="s">
        <v>53</v>
      </c>
      <c r="B20" t="s">
        <v>54</v>
      </c>
      <c r="C20" s="1">
        <v>45531</v>
      </c>
      <c r="D20" t="s">
        <v>51</v>
      </c>
      <c r="E20" t="s">
        <v>35</v>
      </c>
      <c r="F20" t="s">
        <v>90</v>
      </c>
      <c r="G20">
        <v>4564</v>
      </c>
      <c r="H20">
        <v>31755</v>
      </c>
      <c r="I20">
        <v>6890835</v>
      </c>
      <c r="J20">
        <v>4732974</v>
      </c>
      <c r="K20">
        <v>156553629</v>
      </c>
    </row>
    <row r="21" spans="1:11">
      <c r="A21" t="s">
        <v>75</v>
      </c>
      <c r="B21" t="s">
        <v>63</v>
      </c>
      <c r="C21" s="1">
        <v>45634</v>
      </c>
      <c r="D21" t="s">
        <v>57</v>
      </c>
      <c r="E21" t="s">
        <v>25</v>
      </c>
      <c r="F21" t="s">
        <v>91</v>
      </c>
      <c r="G21">
        <v>3350.2</v>
      </c>
      <c r="H21">
        <v>2975.7</v>
      </c>
      <c r="I21">
        <v>1041495</v>
      </c>
      <c r="J21">
        <v>3001940</v>
      </c>
      <c r="K21">
        <v>14216078</v>
      </c>
    </row>
    <row r="22" spans="1:11">
      <c r="A22" t="s">
        <v>75</v>
      </c>
      <c r="B22" t="s">
        <v>54</v>
      </c>
      <c r="C22" s="1">
        <v>45460</v>
      </c>
      <c r="D22" t="s">
        <v>51</v>
      </c>
      <c r="E22" t="s">
        <v>33</v>
      </c>
      <c r="F22" t="s">
        <v>92</v>
      </c>
      <c r="G22">
        <v>4045</v>
      </c>
      <c r="H22">
        <v>27719</v>
      </c>
      <c r="I22">
        <v>7539568</v>
      </c>
      <c r="J22">
        <v>4670910</v>
      </c>
      <c r="K22">
        <v>124333833</v>
      </c>
    </row>
    <row r="23" spans="1:11">
      <c r="A23" t="s">
        <v>75</v>
      </c>
      <c r="B23" t="s">
        <v>56</v>
      </c>
      <c r="C23" s="1">
        <v>45425</v>
      </c>
      <c r="D23" t="s">
        <v>64</v>
      </c>
      <c r="E23" t="s">
        <v>20</v>
      </c>
      <c r="F23" t="s">
        <v>93</v>
      </c>
      <c r="G23">
        <v>1008</v>
      </c>
      <c r="H23">
        <v>21142</v>
      </c>
      <c r="I23">
        <v>2558182</v>
      </c>
      <c r="J23">
        <v>1632574</v>
      </c>
      <c r="K23">
        <v>25501892</v>
      </c>
    </row>
    <row r="24" spans="1:11">
      <c r="A24" t="s">
        <v>49</v>
      </c>
      <c r="B24" t="s">
        <v>94</v>
      </c>
      <c r="C24" s="1">
        <v>45474</v>
      </c>
      <c r="D24" t="s">
        <v>51</v>
      </c>
      <c r="E24" t="s">
        <v>31</v>
      </c>
      <c r="F24" t="s">
        <v>95</v>
      </c>
      <c r="G24">
        <v>2334</v>
      </c>
      <c r="H24">
        <v>16842</v>
      </c>
      <c r="I24">
        <v>6905220</v>
      </c>
      <c r="J24">
        <v>1067015</v>
      </c>
      <c r="K24">
        <v>47281463</v>
      </c>
    </row>
    <row r="25" spans="1:11">
      <c r="A25" t="s">
        <v>96</v>
      </c>
      <c r="B25" t="s">
        <v>54</v>
      </c>
      <c r="C25" s="1">
        <v>45299</v>
      </c>
      <c r="D25" t="s">
        <v>79</v>
      </c>
      <c r="E25" t="s">
        <v>9</v>
      </c>
      <c r="F25" t="s">
        <v>97</v>
      </c>
      <c r="H25">
        <v>14456</v>
      </c>
      <c r="I25">
        <v>4603680</v>
      </c>
      <c r="J25">
        <v>2403962</v>
      </c>
      <c r="K25">
        <v>41090442</v>
      </c>
    </row>
    <row r="26" spans="1:11">
      <c r="A26" t="s">
        <v>81</v>
      </c>
      <c r="B26" t="s">
        <v>84</v>
      </c>
      <c r="C26" s="1">
        <v>45416</v>
      </c>
      <c r="D26" t="s">
        <v>51</v>
      </c>
      <c r="E26" t="s">
        <v>33</v>
      </c>
      <c r="F26" t="s">
        <v>98</v>
      </c>
      <c r="G26">
        <v>3977</v>
      </c>
      <c r="H26">
        <v>25243</v>
      </c>
      <c r="I26">
        <v>9238938</v>
      </c>
      <c r="J26">
        <v>4689343</v>
      </c>
      <c r="K26">
        <v>114319692</v>
      </c>
    </row>
    <row r="27" spans="1:11">
      <c r="A27" t="s">
        <v>75</v>
      </c>
      <c r="B27" t="s">
        <v>66</v>
      </c>
      <c r="C27" s="1">
        <v>45407</v>
      </c>
      <c r="D27" t="s">
        <v>51</v>
      </c>
      <c r="E27" t="s">
        <v>13</v>
      </c>
      <c r="F27" t="s">
        <v>99</v>
      </c>
      <c r="G27">
        <v>3449</v>
      </c>
      <c r="H27">
        <v>13539</v>
      </c>
      <c r="I27">
        <v>5672841</v>
      </c>
      <c r="J27">
        <v>3471436</v>
      </c>
      <c r="K27">
        <v>55840288</v>
      </c>
    </row>
    <row r="28" spans="1:11">
      <c r="A28" t="s">
        <v>62</v>
      </c>
      <c r="B28" t="s">
        <v>78</v>
      </c>
      <c r="C28" s="1">
        <v>45316</v>
      </c>
      <c r="D28" t="s">
        <v>51</v>
      </c>
      <c r="E28" t="s">
        <v>33</v>
      </c>
      <c r="F28" t="s">
        <v>100</v>
      </c>
      <c r="G28">
        <v>3668</v>
      </c>
      <c r="H28">
        <v>36462</v>
      </c>
      <c r="I28">
        <v>5250528</v>
      </c>
      <c r="J28">
        <v>2377592</v>
      </c>
      <c r="K28">
        <v>141370736</v>
      </c>
    </row>
    <row r="29" spans="1:11">
      <c r="A29" t="s">
        <v>49</v>
      </c>
      <c r="B29" t="s">
        <v>60</v>
      </c>
      <c r="C29" s="1">
        <v>45539</v>
      </c>
      <c r="D29" t="s">
        <v>51</v>
      </c>
      <c r="E29" t="s">
        <v>33</v>
      </c>
      <c r="F29" t="s">
        <v>101</v>
      </c>
      <c r="G29">
        <v>3279</v>
      </c>
      <c r="H29">
        <v>32540</v>
      </c>
      <c r="I29">
        <v>13341400</v>
      </c>
      <c r="J29">
        <v>2840750</v>
      </c>
      <c r="K29">
        <v>122880810</v>
      </c>
    </row>
    <row r="30" spans="1:11">
      <c r="A30" t="s">
        <v>49</v>
      </c>
      <c r="B30" t="s">
        <v>84</v>
      </c>
      <c r="C30" s="1">
        <v>45639</v>
      </c>
      <c r="D30" t="s">
        <v>51</v>
      </c>
      <c r="E30" t="s">
        <v>13</v>
      </c>
      <c r="F30" t="s">
        <v>102</v>
      </c>
      <c r="G30">
        <v>2948</v>
      </c>
      <c r="H30">
        <v>9316</v>
      </c>
      <c r="I30">
        <v>1266976</v>
      </c>
      <c r="J30">
        <v>2704822</v>
      </c>
      <c r="K30">
        <v>31435366</v>
      </c>
    </row>
    <row r="31" spans="1:11">
      <c r="A31" t="s">
        <v>49</v>
      </c>
      <c r="B31" t="s">
        <v>54</v>
      </c>
      <c r="C31" s="1">
        <v>45647</v>
      </c>
      <c r="D31" t="s">
        <v>51</v>
      </c>
      <c r="E31" t="s">
        <v>28</v>
      </c>
      <c r="F31" t="s">
        <v>103</v>
      </c>
      <c r="G31">
        <v>2749.6</v>
      </c>
      <c r="H31">
        <v>17172</v>
      </c>
      <c r="I31">
        <v>7830432</v>
      </c>
      <c r="J31">
        <v>3956927</v>
      </c>
      <c r="K31">
        <v>45513167</v>
      </c>
    </row>
    <row r="32" spans="1:11">
      <c r="A32" t="s">
        <v>53</v>
      </c>
      <c r="B32" t="s">
        <v>56</v>
      </c>
      <c r="C32" s="1">
        <v>45410</v>
      </c>
      <c r="D32" t="s">
        <v>51</v>
      </c>
      <c r="E32" t="s">
        <v>13</v>
      </c>
      <c r="F32" t="s">
        <v>104</v>
      </c>
      <c r="H32">
        <v>16737</v>
      </c>
      <c r="I32">
        <v>6276375</v>
      </c>
      <c r="J32">
        <v>2726932</v>
      </c>
      <c r="K32">
        <v>85424449</v>
      </c>
    </row>
    <row r="33" spans="1:11">
      <c r="A33" t="s">
        <v>49</v>
      </c>
      <c r="B33" t="s">
        <v>94</v>
      </c>
      <c r="C33" s="1">
        <v>45392</v>
      </c>
      <c r="D33" t="s">
        <v>51</v>
      </c>
      <c r="E33" t="s">
        <v>35</v>
      </c>
      <c r="F33" t="s">
        <v>105</v>
      </c>
      <c r="G33">
        <v>632</v>
      </c>
      <c r="H33">
        <v>35304</v>
      </c>
      <c r="I33">
        <v>10379376</v>
      </c>
      <c r="J33">
        <v>1590737</v>
      </c>
      <c r="K33">
        <v>34282241</v>
      </c>
    </row>
    <row r="34" spans="1:11">
      <c r="A34" t="s">
        <v>96</v>
      </c>
      <c r="B34" t="s">
        <v>50</v>
      </c>
      <c r="C34" s="1">
        <v>45360</v>
      </c>
      <c r="D34" t="s">
        <v>51</v>
      </c>
      <c r="E34" t="s">
        <v>13</v>
      </c>
      <c r="F34" t="s">
        <v>106</v>
      </c>
      <c r="G34">
        <v>1932</v>
      </c>
      <c r="H34">
        <v>16841</v>
      </c>
      <c r="I34">
        <v>7713178</v>
      </c>
      <c r="J34">
        <v>4738764</v>
      </c>
      <c r="K34">
        <v>44988754</v>
      </c>
    </row>
    <row r="35" spans="1:11">
      <c r="A35" t="s">
        <v>53</v>
      </c>
      <c r="B35" t="s">
        <v>60</v>
      </c>
      <c r="C35" s="1">
        <v>45358</v>
      </c>
      <c r="D35" t="s">
        <v>57</v>
      </c>
      <c r="E35" t="s">
        <v>25</v>
      </c>
      <c r="F35" t="s">
        <v>107</v>
      </c>
      <c r="G35">
        <v>1598.8</v>
      </c>
      <c r="H35">
        <v>18210.5</v>
      </c>
      <c r="I35">
        <v>7336230</v>
      </c>
      <c r="J35">
        <v>2229062</v>
      </c>
      <c r="K35">
        <v>39274422</v>
      </c>
    </row>
    <row r="36" spans="1:11">
      <c r="A36" t="s">
        <v>49</v>
      </c>
      <c r="B36" t="s">
        <v>54</v>
      </c>
      <c r="C36" s="1">
        <v>45326</v>
      </c>
      <c r="D36" t="s">
        <v>79</v>
      </c>
      <c r="E36" t="s">
        <v>9</v>
      </c>
      <c r="F36" t="s">
        <v>108</v>
      </c>
      <c r="G36">
        <v>1933</v>
      </c>
      <c r="H36">
        <v>58687.199999999997</v>
      </c>
      <c r="I36">
        <v>16296984</v>
      </c>
      <c r="J36">
        <v>1120895</v>
      </c>
      <c r="K36">
        <v>104681231</v>
      </c>
    </row>
    <row r="37" spans="1:11">
      <c r="A37" t="s">
        <v>72</v>
      </c>
      <c r="B37" t="s">
        <v>56</v>
      </c>
      <c r="C37" s="1">
        <v>45395</v>
      </c>
      <c r="D37" t="s">
        <v>79</v>
      </c>
      <c r="E37" t="s">
        <v>9</v>
      </c>
      <c r="F37" t="s">
        <v>109</v>
      </c>
      <c r="H37">
        <v>7559.5</v>
      </c>
      <c r="I37">
        <v>1913135</v>
      </c>
      <c r="J37">
        <v>4680189</v>
      </c>
      <c r="K37">
        <v>21654174</v>
      </c>
    </row>
    <row r="38" spans="1:11">
      <c r="A38" t="s">
        <v>59</v>
      </c>
      <c r="B38" t="s">
        <v>56</v>
      </c>
      <c r="C38" s="1">
        <v>45509</v>
      </c>
      <c r="D38" t="s">
        <v>51</v>
      </c>
      <c r="E38" t="s">
        <v>31</v>
      </c>
      <c r="F38" t="s">
        <v>110</v>
      </c>
      <c r="G38">
        <v>4452</v>
      </c>
      <c r="H38">
        <v>31745</v>
      </c>
      <c r="I38">
        <v>4412555</v>
      </c>
      <c r="J38">
        <v>4091720</v>
      </c>
      <c r="K38">
        <v>149833015</v>
      </c>
    </row>
    <row r="39" spans="1:11">
      <c r="A39" t="s">
        <v>70</v>
      </c>
      <c r="B39" t="s">
        <v>82</v>
      </c>
      <c r="C39" s="1">
        <v>45555</v>
      </c>
      <c r="D39" t="s">
        <v>51</v>
      </c>
      <c r="E39" t="s">
        <v>17</v>
      </c>
      <c r="F39" t="s">
        <v>111</v>
      </c>
      <c r="G39">
        <v>2716</v>
      </c>
      <c r="H39">
        <v>12688</v>
      </c>
      <c r="I39">
        <v>2486848</v>
      </c>
      <c r="J39">
        <v>1413822</v>
      </c>
      <c r="K39">
        <v>38361278</v>
      </c>
    </row>
    <row r="40" spans="1:11">
      <c r="A40" t="s">
        <v>75</v>
      </c>
      <c r="B40" t="s">
        <v>94</v>
      </c>
      <c r="C40" s="1">
        <v>45507</v>
      </c>
      <c r="D40" t="s">
        <v>51</v>
      </c>
      <c r="E40" t="s">
        <v>17</v>
      </c>
      <c r="F40" t="s">
        <v>112</v>
      </c>
      <c r="G40">
        <v>2237</v>
      </c>
      <c r="H40">
        <v>20276</v>
      </c>
      <c r="I40">
        <v>9671652</v>
      </c>
      <c r="J40">
        <v>4912334</v>
      </c>
      <c r="K40">
        <v>59941398</v>
      </c>
    </row>
    <row r="41" spans="1:11">
      <c r="A41" t="s">
        <v>70</v>
      </c>
      <c r="B41" t="s">
        <v>63</v>
      </c>
      <c r="C41" s="1">
        <v>45468</v>
      </c>
      <c r="D41" t="s">
        <v>51</v>
      </c>
      <c r="E41" t="s">
        <v>33</v>
      </c>
      <c r="F41" t="s">
        <v>110</v>
      </c>
      <c r="G41">
        <v>1412</v>
      </c>
      <c r="I41">
        <v>12753000</v>
      </c>
      <c r="J41">
        <v>663225</v>
      </c>
      <c r="K41">
        <v>61435521</v>
      </c>
    </row>
    <row r="42" spans="1:11">
      <c r="A42" t="s">
        <v>70</v>
      </c>
      <c r="B42" t="s">
        <v>60</v>
      </c>
      <c r="C42" s="1">
        <v>45654</v>
      </c>
      <c r="D42" t="s">
        <v>79</v>
      </c>
      <c r="E42" t="s">
        <v>9</v>
      </c>
      <c r="F42" t="s">
        <v>113</v>
      </c>
      <c r="G42">
        <v>836</v>
      </c>
      <c r="H42">
        <v>56160</v>
      </c>
      <c r="I42">
        <v>14904000</v>
      </c>
      <c r="J42">
        <v>4753926</v>
      </c>
      <c r="K42">
        <v>55773126</v>
      </c>
    </row>
    <row r="43" spans="1:11">
      <c r="A43" t="s">
        <v>70</v>
      </c>
      <c r="B43" t="s">
        <v>94</v>
      </c>
      <c r="C43" s="1">
        <v>45527</v>
      </c>
      <c r="D43" t="s">
        <v>79</v>
      </c>
      <c r="E43" t="s">
        <v>9</v>
      </c>
      <c r="F43" t="s">
        <v>114</v>
      </c>
      <c r="G43">
        <v>625</v>
      </c>
      <c r="H43">
        <v>34043.1</v>
      </c>
      <c r="I43">
        <v>11705589</v>
      </c>
      <c r="J43">
        <v>2483828</v>
      </c>
      <c r="K43">
        <v>30556292</v>
      </c>
    </row>
    <row r="44" spans="1:11">
      <c r="A44" t="s">
        <v>72</v>
      </c>
      <c r="B44" t="s">
        <v>50</v>
      </c>
      <c r="C44" s="1">
        <v>45555</v>
      </c>
      <c r="D44" t="s">
        <v>51</v>
      </c>
      <c r="E44" t="s">
        <v>33</v>
      </c>
      <c r="F44" t="s">
        <v>115</v>
      </c>
      <c r="G44">
        <v>4629</v>
      </c>
      <c r="H44">
        <v>34318</v>
      </c>
      <c r="I44">
        <v>5113382</v>
      </c>
      <c r="J44">
        <v>3030898</v>
      </c>
      <c r="K44">
        <v>167002302</v>
      </c>
    </row>
    <row r="45" spans="1:11">
      <c r="A45" t="s">
        <v>72</v>
      </c>
      <c r="B45" t="s">
        <v>94</v>
      </c>
      <c r="C45" s="1">
        <v>45524</v>
      </c>
      <c r="D45" t="s">
        <v>51</v>
      </c>
      <c r="E45" t="s">
        <v>17</v>
      </c>
      <c r="F45" t="s">
        <v>116</v>
      </c>
      <c r="G45">
        <v>3412</v>
      </c>
      <c r="H45">
        <v>22029</v>
      </c>
      <c r="I45">
        <v>7401744</v>
      </c>
      <c r="J45">
        <v>4420985</v>
      </c>
      <c r="K45">
        <v>86985677</v>
      </c>
    </row>
    <row r="46" spans="1:11">
      <c r="A46" t="s">
        <v>62</v>
      </c>
      <c r="B46" t="s">
        <v>66</v>
      </c>
      <c r="C46" s="1">
        <v>45606</v>
      </c>
      <c r="D46" t="s">
        <v>79</v>
      </c>
      <c r="E46" t="s">
        <v>9</v>
      </c>
      <c r="F46" t="s">
        <v>117</v>
      </c>
      <c r="G46">
        <v>2105</v>
      </c>
      <c r="H46">
        <v>52642.2</v>
      </c>
      <c r="I46">
        <v>15468708</v>
      </c>
      <c r="J46">
        <v>4334451</v>
      </c>
      <c r="K46">
        <v>105043029</v>
      </c>
    </row>
    <row r="47" spans="1:11">
      <c r="A47" t="s">
        <v>53</v>
      </c>
      <c r="B47" t="s">
        <v>82</v>
      </c>
      <c r="C47" s="1">
        <v>45512</v>
      </c>
      <c r="D47" t="s">
        <v>79</v>
      </c>
      <c r="E47" t="s">
        <v>9</v>
      </c>
      <c r="F47" t="s">
        <v>118</v>
      </c>
      <c r="G47">
        <v>737</v>
      </c>
      <c r="H47">
        <v>28345.200000000001</v>
      </c>
      <c r="I47">
        <v>3292404</v>
      </c>
      <c r="J47">
        <v>4566892</v>
      </c>
      <c r="K47">
        <v>23928844</v>
      </c>
    </row>
    <row r="48" spans="1:11">
      <c r="A48" t="s">
        <v>75</v>
      </c>
      <c r="B48" t="s">
        <v>60</v>
      </c>
      <c r="C48" s="1">
        <v>45654</v>
      </c>
      <c r="D48" t="s">
        <v>51</v>
      </c>
      <c r="E48" t="s">
        <v>17</v>
      </c>
      <c r="F48" t="s">
        <v>119</v>
      </c>
      <c r="G48">
        <v>933</v>
      </c>
      <c r="H48">
        <v>31752</v>
      </c>
      <c r="I48">
        <v>5366088</v>
      </c>
      <c r="J48">
        <v>1334941</v>
      </c>
      <c r="K48">
        <v>36325645</v>
      </c>
    </row>
    <row r="49" spans="1:11">
      <c r="A49" t="s">
        <v>53</v>
      </c>
      <c r="B49" t="s">
        <v>56</v>
      </c>
      <c r="C49" s="1">
        <v>45467</v>
      </c>
      <c r="D49" t="s">
        <v>64</v>
      </c>
      <c r="E49" t="s">
        <v>20</v>
      </c>
      <c r="F49" t="s">
        <v>120</v>
      </c>
      <c r="G49">
        <v>4503</v>
      </c>
      <c r="H49">
        <v>7651</v>
      </c>
      <c r="I49">
        <v>1361878</v>
      </c>
      <c r="J49">
        <v>2805968</v>
      </c>
      <c r="K49">
        <v>38620299</v>
      </c>
    </row>
    <row r="50" spans="1:11">
      <c r="A50" t="s">
        <v>77</v>
      </c>
      <c r="B50" t="s">
        <v>94</v>
      </c>
      <c r="C50" s="1">
        <v>45423</v>
      </c>
      <c r="D50" t="s">
        <v>88</v>
      </c>
      <c r="E50" t="s">
        <v>22</v>
      </c>
      <c r="F50" t="s">
        <v>121</v>
      </c>
      <c r="G50">
        <v>2615.1999999999998</v>
      </c>
      <c r="H50">
        <v>6000</v>
      </c>
      <c r="I50">
        <v>2094000</v>
      </c>
      <c r="J50">
        <v>3409793</v>
      </c>
      <c r="K50">
        <v>16711793</v>
      </c>
    </row>
    <row r="51" spans="1:11">
      <c r="A51" t="s">
        <v>77</v>
      </c>
      <c r="B51" t="s">
        <v>66</v>
      </c>
      <c r="C51" s="1">
        <v>45386</v>
      </c>
      <c r="D51" t="s">
        <v>79</v>
      </c>
      <c r="E51" t="s">
        <v>9</v>
      </c>
      <c r="F51" t="s">
        <v>122</v>
      </c>
      <c r="G51">
        <v>4046</v>
      </c>
      <c r="H51">
        <v>32925.1</v>
      </c>
      <c r="I51">
        <v>4356244</v>
      </c>
      <c r="J51">
        <v>1785594</v>
      </c>
      <c r="K51">
        <v>108614880</v>
      </c>
    </row>
    <row r="52" spans="1:11">
      <c r="A52" t="s">
        <v>59</v>
      </c>
      <c r="B52" t="s">
        <v>63</v>
      </c>
      <c r="C52" s="1">
        <v>45318</v>
      </c>
      <c r="D52" t="s">
        <v>57</v>
      </c>
      <c r="E52" t="s">
        <v>25</v>
      </c>
      <c r="F52" t="s">
        <v>123</v>
      </c>
      <c r="G52">
        <v>4613</v>
      </c>
      <c r="H52">
        <v>9412.2000000000007</v>
      </c>
      <c r="I52">
        <v>5580090</v>
      </c>
      <c r="J52">
        <v>4314798</v>
      </c>
      <c r="K52">
        <v>54199458</v>
      </c>
    </row>
    <row r="53" spans="1:11">
      <c r="A53" t="s">
        <v>59</v>
      </c>
      <c r="B53" t="s">
        <v>60</v>
      </c>
      <c r="C53" s="1">
        <v>45499</v>
      </c>
      <c r="D53" t="s">
        <v>64</v>
      </c>
      <c r="E53" t="s">
        <v>20</v>
      </c>
      <c r="F53" t="s">
        <v>124</v>
      </c>
      <c r="G53">
        <v>3437</v>
      </c>
      <c r="H53">
        <v>17457</v>
      </c>
      <c r="I53">
        <v>4800675</v>
      </c>
      <c r="J53">
        <v>3816903</v>
      </c>
      <c r="K53">
        <v>68617287</v>
      </c>
    </row>
    <row r="54" spans="1:11">
      <c r="A54" t="s">
        <v>77</v>
      </c>
      <c r="B54" t="s">
        <v>66</v>
      </c>
      <c r="C54" s="1">
        <v>45543</v>
      </c>
      <c r="D54" t="s">
        <v>51</v>
      </c>
      <c r="E54" t="s">
        <v>31</v>
      </c>
      <c r="F54" t="s">
        <v>65</v>
      </c>
      <c r="G54">
        <v>2167</v>
      </c>
      <c r="H54">
        <v>23456</v>
      </c>
      <c r="I54">
        <v>8068864</v>
      </c>
      <c r="J54">
        <v>4892379</v>
      </c>
      <c r="K54">
        <v>63790395</v>
      </c>
    </row>
    <row r="55" spans="1:11">
      <c r="A55" t="s">
        <v>59</v>
      </c>
      <c r="B55" t="s">
        <v>60</v>
      </c>
      <c r="C55" s="1">
        <v>45607</v>
      </c>
      <c r="D55" t="s">
        <v>57</v>
      </c>
      <c r="E55" t="s">
        <v>25</v>
      </c>
      <c r="F55" t="s">
        <v>125</v>
      </c>
      <c r="G55">
        <v>2289</v>
      </c>
      <c r="H55">
        <v>12636.4</v>
      </c>
      <c r="I55">
        <v>5054560</v>
      </c>
      <c r="J55">
        <v>11048770</v>
      </c>
      <c r="K55">
        <v>36779334</v>
      </c>
    </row>
    <row r="56" spans="1:11">
      <c r="A56" t="s">
        <v>53</v>
      </c>
      <c r="B56" t="s">
        <v>63</v>
      </c>
      <c r="C56" s="1">
        <v>45635</v>
      </c>
      <c r="D56" t="s">
        <v>51</v>
      </c>
      <c r="E56" t="s">
        <v>13</v>
      </c>
      <c r="F56" t="s">
        <v>126</v>
      </c>
      <c r="G56">
        <v>2495</v>
      </c>
      <c r="H56">
        <v>26922</v>
      </c>
      <c r="I56">
        <v>12868716</v>
      </c>
      <c r="J56">
        <v>4865146</v>
      </c>
      <c r="K56">
        <v>339617008</v>
      </c>
    </row>
    <row r="57" spans="1:11">
      <c r="A57" t="s">
        <v>81</v>
      </c>
      <c r="B57" t="s">
        <v>63</v>
      </c>
      <c r="C57" s="1">
        <v>45304</v>
      </c>
      <c r="D57" t="s">
        <v>57</v>
      </c>
      <c r="E57" t="s">
        <v>25</v>
      </c>
      <c r="F57" t="s">
        <v>101</v>
      </c>
      <c r="G57">
        <v>1244.5999999999999</v>
      </c>
      <c r="H57">
        <v>23400.3</v>
      </c>
      <c r="I57">
        <v>10463277</v>
      </c>
      <c r="J57">
        <v>1325646</v>
      </c>
      <c r="K57">
        <v>41507304</v>
      </c>
    </row>
    <row r="58" spans="1:11">
      <c r="A58" t="s">
        <v>75</v>
      </c>
      <c r="B58" t="s">
        <v>78</v>
      </c>
      <c r="C58" s="1">
        <v>45509</v>
      </c>
      <c r="D58" t="s">
        <v>51</v>
      </c>
      <c r="E58" t="s">
        <v>35</v>
      </c>
      <c r="F58" t="s">
        <v>127</v>
      </c>
      <c r="G58">
        <v>4120</v>
      </c>
      <c r="I58">
        <v>4873518</v>
      </c>
      <c r="J58">
        <v>2422363</v>
      </c>
      <c r="K58">
        <v>93103121</v>
      </c>
    </row>
    <row r="59" spans="1:11">
      <c r="A59" t="s">
        <v>81</v>
      </c>
      <c r="B59" t="s">
        <v>60</v>
      </c>
      <c r="C59" s="1">
        <v>45448</v>
      </c>
      <c r="D59" t="s">
        <v>51</v>
      </c>
      <c r="E59" t="s">
        <v>35</v>
      </c>
      <c r="F59" t="s">
        <v>128</v>
      </c>
      <c r="I59">
        <v>4728492</v>
      </c>
      <c r="J59">
        <v>3476973</v>
      </c>
      <c r="K59">
        <v>15717666</v>
      </c>
    </row>
    <row r="60" spans="1:11">
      <c r="A60" t="s">
        <v>96</v>
      </c>
      <c r="B60" t="s">
        <v>84</v>
      </c>
      <c r="C60" s="1">
        <v>45326</v>
      </c>
      <c r="D60" t="s">
        <v>57</v>
      </c>
      <c r="E60" t="s">
        <v>25</v>
      </c>
      <c r="F60" t="s">
        <v>129</v>
      </c>
      <c r="G60">
        <v>4459</v>
      </c>
      <c r="H60">
        <v>19021.099999999999</v>
      </c>
      <c r="I60">
        <v>9592069</v>
      </c>
      <c r="J60">
        <v>3713395</v>
      </c>
      <c r="K60">
        <v>99851469</v>
      </c>
    </row>
    <row r="61" spans="1:11">
      <c r="A61" t="s">
        <v>53</v>
      </c>
      <c r="B61" t="s">
        <v>66</v>
      </c>
      <c r="C61" s="1">
        <v>45431</v>
      </c>
      <c r="D61" t="s">
        <v>51</v>
      </c>
      <c r="E61" t="s">
        <v>35</v>
      </c>
      <c r="F61" t="s">
        <v>89</v>
      </c>
      <c r="H61">
        <v>31020</v>
      </c>
      <c r="I61">
        <v>10701900</v>
      </c>
      <c r="J61">
        <v>854727</v>
      </c>
      <c r="K61">
        <v>122856387</v>
      </c>
    </row>
    <row r="62" spans="1:11">
      <c r="A62" t="s">
        <v>70</v>
      </c>
      <c r="B62" t="s">
        <v>66</v>
      </c>
      <c r="C62" s="1">
        <v>45583</v>
      </c>
      <c r="D62" t="s">
        <v>51</v>
      </c>
      <c r="E62" t="s">
        <v>17</v>
      </c>
      <c r="F62" t="s">
        <v>130</v>
      </c>
      <c r="H62">
        <v>5456</v>
      </c>
      <c r="I62">
        <v>1085744</v>
      </c>
      <c r="J62">
        <v>3936852</v>
      </c>
      <c r="K62">
        <v>19235476</v>
      </c>
    </row>
    <row r="63" spans="1:11">
      <c r="A63" t="s">
        <v>62</v>
      </c>
      <c r="B63" t="s">
        <v>66</v>
      </c>
      <c r="C63" s="1">
        <v>45484</v>
      </c>
      <c r="D63" t="s">
        <v>64</v>
      </c>
      <c r="E63" t="s">
        <v>20</v>
      </c>
      <c r="F63" t="s">
        <v>131</v>
      </c>
      <c r="G63">
        <v>4134</v>
      </c>
      <c r="I63">
        <v>15825404</v>
      </c>
      <c r="J63">
        <v>3103482</v>
      </c>
      <c r="K63">
        <v>184975130</v>
      </c>
    </row>
    <row r="64" spans="1:11">
      <c r="A64" t="s">
        <v>70</v>
      </c>
      <c r="B64" t="s">
        <v>60</v>
      </c>
      <c r="C64" s="1">
        <v>45486</v>
      </c>
      <c r="D64" t="s">
        <v>51</v>
      </c>
      <c r="E64" t="s">
        <v>28</v>
      </c>
      <c r="F64" t="s">
        <v>132</v>
      </c>
      <c r="G64">
        <v>5391.4</v>
      </c>
      <c r="H64">
        <v>11355</v>
      </c>
      <c r="I64">
        <v>2305065</v>
      </c>
      <c r="J64">
        <v>1958821</v>
      </c>
      <c r="K64">
        <v>191967964</v>
      </c>
    </row>
    <row r="65" spans="1:11">
      <c r="A65" t="s">
        <v>75</v>
      </c>
      <c r="B65" t="s">
        <v>54</v>
      </c>
      <c r="C65" s="1">
        <v>45457</v>
      </c>
      <c r="D65" t="s">
        <v>64</v>
      </c>
      <c r="E65" t="s">
        <v>20</v>
      </c>
      <c r="F65" t="s">
        <v>133</v>
      </c>
      <c r="I65">
        <v>3236079</v>
      </c>
      <c r="J65">
        <v>3039149</v>
      </c>
      <c r="K65">
        <v>24290802</v>
      </c>
    </row>
    <row r="66" spans="1:11">
      <c r="A66" t="s">
        <v>96</v>
      </c>
      <c r="B66" t="s">
        <v>63</v>
      </c>
      <c r="C66" s="1">
        <v>45292</v>
      </c>
      <c r="D66" t="s">
        <v>51</v>
      </c>
      <c r="E66" t="s">
        <v>13</v>
      </c>
      <c r="F66" t="s">
        <v>134</v>
      </c>
      <c r="G66">
        <v>3769</v>
      </c>
      <c r="H66">
        <v>35877</v>
      </c>
      <c r="I66">
        <v>5489181</v>
      </c>
      <c r="J66">
        <v>8648395</v>
      </c>
      <c r="K66">
        <v>142439273</v>
      </c>
    </row>
    <row r="67" spans="1:11">
      <c r="A67" t="s">
        <v>81</v>
      </c>
      <c r="B67" t="s">
        <v>50</v>
      </c>
      <c r="C67" s="1">
        <v>45370</v>
      </c>
      <c r="D67" t="s">
        <v>51</v>
      </c>
      <c r="E67" t="s">
        <v>33</v>
      </c>
      <c r="F67" t="s">
        <v>135</v>
      </c>
      <c r="G67">
        <v>2589</v>
      </c>
      <c r="H67">
        <v>8270</v>
      </c>
      <c r="I67">
        <v>1563030</v>
      </c>
      <c r="J67">
        <v>3564057</v>
      </c>
      <c r="K67">
        <v>106152468</v>
      </c>
    </row>
    <row r="68" spans="1:11">
      <c r="A68" t="s">
        <v>75</v>
      </c>
      <c r="B68" t="s">
        <v>63</v>
      </c>
      <c r="C68" s="1">
        <v>45616</v>
      </c>
      <c r="D68" t="s">
        <v>88</v>
      </c>
      <c r="E68" t="s">
        <v>22</v>
      </c>
      <c r="F68" t="s">
        <v>136</v>
      </c>
      <c r="G68">
        <v>1867.6</v>
      </c>
      <c r="H68">
        <v>46028</v>
      </c>
      <c r="I68">
        <v>20068208</v>
      </c>
      <c r="J68">
        <v>2266980</v>
      </c>
      <c r="K68">
        <v>83736540</v>
      </c>
    </row>
    <row r="69" spans="1:11">
      <c r="A69" t="s">
        <v>70</v>
      </c>
      <c r="B69" t="s">
        <v>60</v>
      </c>
      <c r="C69" s="1">
        <v>45420</v>
      </c>
      <c r="D69" t="s">
        <v>51</v>
      </c>
      <c r="E69" t="s">
        <v>13</v>
      </c>
      <c r="F69" t="s">
        <v>137</v>
      </c>
      <c r="G69">
        <v>4078</v>
      </c>
      <c r="H69">
        <v>9560</v>
      </c>
      <c r="I69">
        <v>3795320</v>
      </c>
      <c r="J69">
        <v>2303574</v>
      </c>
      <c r="K69">
        <v>45084574</v>
      </c>
    </row>
    <row r="70" spans="1:11">
      <c r="A70" t="s">
        <v>96</v>
      </c>
      <c r="B70" t="s">
        <v>60</v>
      </c>
      <c r="C70" s="1">
        <v>45368</v>
      </c>
      <c r="D70" t="s">
        <v>64</v>
      </c>
      <c r="E70" t="s">
        <v>20</v>
      </c>
      <c r="F70" t="s">
        <v>138</v>
      </c>
      <c r="G70">
        <v>1381</v>
      </c>
      <c r="H70">
        <v>13578</v>
      </c>
      <c r="I70">
        <v>5336154</v>
      </c>
      <c r="J70">
        <v>1442642</v>
      </c>
      <c r="K70">
        <v>25530014</v>
      </c>
    </row>
    <row r="71" spans="1:11">
      <c r="A71" t="s">
        <v>49</v>
      </c>
      <c r="B71" t="s">
        <v>78</v>
      </c>
      <c r="C71" s="1">
        <v>45525</v>
      </c>
      <c r="D71" t="s">
        <v>51</v>
      </c>
      <c r="E71" t="s">
        <v>28</v>
      </c>
      <c r="F71" t="s">
        <v>139</v>
      </c>
      <c r="G71">
        <v>6914.6</v>
      </c>
      <c r="H71">
        <v>40916</v>
      </c>
      <c r="I71">
        <v>19926092</v>
      </c>
      <c r="J71">
        <v>3643451</v>
      </c>
      <c r="K71">
        <v>225653667</v>
      </c>
    </row>
    <row r="72" spans="1:11">
      <c r="A72" t="s">
        <v>59</v>
      </c>
      <c r="B72" t="s">
        <v>94</v>
      </c>
      <c r="C72" s="1">
        <v>45506</v>
      </c>
      <c r="D72" t="s">
        <v>51</v>
      </c>
      <c r="E72" t="s">
        <v>13</v>
      </c>
      <c r="F72" t="s">
        <v>140</v>
      </c>
      <c r="G72">
        <v>2817</v>
      </c>
      <c r="H72">
        <v>13994</v>
      </c>
      <c r="I72">
        <v>6689132</v>
      </c>
      <c r="J72">
        <v>3519113</v>
      </c>
      <c r="K72">
        <v>49629343</v>
      </c>
    </row>
    <row r="73" spans="1:11">
      <c r="A73" t="s">
        <v>96</v>
      </c>
      <c r="B73" t="s">
        <v>56</v>
      </c>
      <c r="C73" s="1">
        <v>45317</v>
      </c>
      <c r="D73" t="s">
        <v>51</v>
      </c>
      <c r="E73" t="s">
        <v>33</v>
      </c>
      <c r="F73" t="s">
        <v>141</v>
      </c>
      <c r="G73">
        <v>2937</v>
      </c>
      <c r="H73">
        <v>14499</v>
      </c>
      <c r="I73">
        <v>7177005</v>
      </c>
      <c r="J73">
        <v>1341541</v>
      </c>
      <c r="K73">
        <v>51102109</v>
      </c>
    </row>
    <row r="74" spans="1:11">
      <c r="A74" t="s">
        <v>75</v>
      </c>
      <c r="B74" t="s">
        <v>63</v>
      </c>
      <c r="C74" s="1">
        <v>45568</v>
      </c>
      <c r="D74" t="s">
        <v>51</v>
      </c>
      <c r="E74" t="s">
        <v>28</v>
      </c>
      <c r="F74" t="s">
        <v>142</v>
      </c>
      <c r="G74">
        <v>3235.4</v>
      </c>
      <c r="H74">
        <v>15002</v>
      </c>
      <c r="I74">
        <v>3975530</v>
      </c>
      <c r="J74">
        <v>4947667</v>
      </c>
      <c r="K74">
        <v>43592819</v>
      </c>
    </row>
    <row r="75" spans="1:11">
      <c r="A75" t="s">
        <v>49</v>
      </c>
      <c r="B75" t="s">
        <v>60</v>
      </c>
      <c r="C75" s="1">
        <v>45339</v>
      </c>
      <c r="D75" t="s">
        <v>51</v>
      </c>
      <c r="E75" t="s">
        <v>28</v>
      </c>
      <c r="F75" t="s">
        <v>143</v>
      </c>
      <c r="G75">
        <v>2224.6</v>
      </c>
      <c r="H75">
        <v>23169</v>
      </c>
      <c r="I75">
        <v>5630067</v>
      </c>
      <c r="J75">
        <v>4471729</v>
      </c>
      <c r="K75">
        <v>46917337</v>
      </c>
    </row>
    <row r="76" spans="1:11">
      <c r="A76" t="s">
        <v>77</v>
      </c>
      <c r="B76" t="s">
        <v>63</v>
      </c>
      <c r="C76" s="1">
        <v>45616</v>
      </c>
      <c r="D76" t="s">
        <v>51</v>
      </c>
      <c r="E76" t="s">
        <v>28</v>
      </c>
      <c r="F76" t="s">
        <v>144</v>
      </c>
      <c r="G76">
        <v>2679.6</v>
      </c>
      <c r="I76">
        <v>1370391</v>
      </c>
      <c r="J76">
        <v>1953924</v>
      </c>
      <c r="K76">
        <v>23346669</v>
      </c>
    </row>
    <row r="77" spans="1:11">
      <c r="A77" t="s">
        <v>81</v>
      </c>
      <c r="B77" t="s">
        <v>78</v>
      </c>
      <c r="C77" s="1">
        <v>45345</v>
      </c>
      <c r="D77" t="s">
        <v>51</v>
      </c>
      <c r="E77" t="s">
        <v>17</v>
      </c>
      <c r="F77" t="s">
        <v>145</v>
      </c>
      <c r="G77">
        <v>2567</v>
      </c>
      <c r="H77">
        <v>4240</v>
      </c>
      <c r="I77">
        <v>1861360</v>
      </c>
      <c r="J77">
        <v>1698282</v>
      </c>
      <c r="K77">
        <v>14443722</v>
      </c>
    </row>
    <row r="78" spans="1:11">
      <c r="A78" t="s">
        <v>62</v>
      </c>
      <c r="B78" t="s">
        <v>54</v>
      </c>
      <c r="C78" s="1">
        <v>45543</v>
      </c>
      <c r="D78" t="s">
        <v>57</v>
      </c>
      <c r="E78" t="s">
        <v>25</v>
      </c>
      <c r="F78" t="s">
        <v>119</v>
      </c>
      <c r="G78">
        <v>6972</v>
      </c>
      <c r="H78">
        <v>21681.1</v>
      </c>
      <c r="I78">
        <v>13875904</v>
      </c>
      <c r="J78">
        <v>2510128</v>
      </c>
      <c r="K78">
        <v>170631572</v>
      </c>
    </row>
    <row r="79" spans="1:11">
      <c r="A79" t="s">
        <v>62</v>
      </c>
      <c r="B79" t="s">
        <v>78</v>
      </c>
      <c r="C79" s="1">
        <v>45510</v>
      </c>
      <c r="D79" t="s">
        <v>51</v>
      </c>
      <c r="E79" t="s">
        <v>13</v>
      </c>
      <c r="F79" t="s">
        <v>146</v>
      </c>
      <c r="H79">
        <v>32900</v>
      </c>
      <c r="I79">
        <v>6777400</v>
      </c>
      <c r="J79">
        <v>3584230</v>
      </c>
      <c r="K79">
        <v>126301230</v>
      </c>
    </row>
    <row r="80" spans="1:11">
      <c r="A80" t="s">
        <v>75</v>
      </c>
      <c r="B80" t="s">
        <v>78</v>
      </c>
      <c r="C80" s="1">
        <v>45609</v>
      </c>
      <c r="D80" t="s">
        <v>57</v>
      </c>
      <c r="E80" t="s">
        <v>25</v>
      </c>
      <c r="F80" t="s">
        <v>147</v>
      </c>
      <c r="G80">
        <v>4765.6000000000004</v>
      </c>
      <c r="H80">
        <v>11366.6</v>
      </c>
      <c r="I80">
        <v>6933626</v>
      </c>
      <c r="J80">
        <v>2380633</v>
      </c>
      <c r="K80">
        <v>64588411</v>
      </c>
    </row>
    <row r="81" spans="1:11">
      <c r="A81" t="s">
        <v>77</v>
      </c>
      <c r="B81" t="s">
        <v>54</v>
      </c>
      <c r="C81" s="1">
        <v>45414</v>
      </c>
      <c r="D81" t="s">
        <v>51</v>
      </c>
      <c r="E81" t="s">
        <v>35</v>
      </c>
      <c r="F81" t="s">
        <v>148</v>
      </c>
      <c r="G81">
        <v>3243</v>
      </c>
      <c r="H81">
        <v>5362</v>
      </c>
      <c r="I81">
        <v>739956</v>
      </c>
      <c r="J81">
        <v>4259028</v>
      </c>
      <c r="K81">
        <v>22387950</v>
      </c>
    </row>
    <row r="82" spans="1:11">
      <c r="A82" t="s">
        <v>77</v>
      </c>
      <c r="B82" t="s">
        <v>94</v>
      </c>
      <c r="C82" s="1">
        <v>45531</v>
      </c>
      <c r="D82" t="s">
        <v>51</v>
      </c>
      <c r="E82" t="s">
        <v>31</v>
      </c>
      <c r="F82" t="s">
        <v>149</v>
      </c>
      <c r="G82">
        <v>1599</v>
      </c>
      <c r="H82">
        <v>6748</v>
      </c>
      <c r="I82">
        <v>1005452</v>
      </c>
      <c r="J82">
        <v>3330904</v>
      </c>
      <c r="K82">
        <v>15126408</v>
      </c>
    </row>
    <row r="83" spans="1:11">
      <c r="A83" t="s">
        <v>77</v>
      </c>
      <c r="B83" t="s">
        <v>66</v>
      </c>
      <c r="C83" s="1">
        <v>45326</v>
      </c>
      <c r="D83" t="s">
        <v>64</v>
      </c>
      <c r="E83" t="s">
        <v>20</v>
      </c>
      <c r="F83" t="s">
        <v>150</v>
      </c>
      <c r="G83">
        <v>1180</v>
      </c>
      <c r="H83">
        <v>11979</v>
      </c>
      <c r="I83">
        <v>3114540</v>
      </c>
      <c r="J83">
        <v>2375872</v>
      </c>
      <c r="K83">
        <v>19625632</v>
      </c>
    </row>
    <row r="84" spans="1:11">
      <c r="A84" t="s">
        <v>72</v>
      </c>
      <c r="B84" t="s">
        <v>50</v>
      </c>
      <c r="C84" s="1">
        <v>45601</v>
      </c>
      <c r="D84" t="s">
        <v>79</v>
      </c>
      <c r="E84" t="s">
        <v>9</v>
      </c>
      <c r="F84" t="s">
        <v>151</v>
      </c>
      <c r="G84">
        <v>3928</v>
      </c>
      <c r="H84">
        <v>45372.6</v>
      </c>
      <c r="I84">
        <v>14623938</v>
      </c>
      <c r="J84">
        <v>962979</v>
      </c>
      <c r="K84">
        <v>152681973</v>
      </c>
    </row>
    <row r="85" spans="1:11">
      <c r="A85" t="s">
        <v>72</v>
      </c>
      <c r="B85" t="s">
        <v>66</v>
      </c>
      <c r="C85" s="1">
        <v>45401</v>
      </c>
      <c r="D85" t="s">
        <v>51</v>
      </c>
      <c r="E85" t="s">
        <v>31</v>
      </c>
      <c r="F85" t="s">
        <v>152</v>
      </c>
      <c r="G85">
        <v>929</v>
      </c>
      <c r="H85">
        <v>17678</v>
      </c>
      <c r="I85">
        <v>4118974</v>
      </c>
      <c r="J85">
        <v>3432767</v>
      </c>
      <c r="K85">
        <v>23974603</v>
      </c>
    </row>
    <row r="86" spans="1:11">
      <c r="A86" t="s">
        <v>72</v>
      </c>
      <c r="B86" t="s">
        <v>56</v>
      </c>
      <c r="C86" s="1">
        <v>45454</v>
      </c>
      <c r="D86" t="s">
        <v>51</v>
      </c>
      <c r="E86" t="s">
        <v>33</v>
      </c>
      <c r="F86" t="s">
        <v>153</v>
      </c>
      <c r="G86">
        <v>1824</v>
      </c>
      <c r="H86">
        <v>11076</v>
      </c>
      <c r="I86">
        <v>2193048</v>
      </c>
      <c r="J86">
        <v>4584685</v>
      </c>
      <c r="K86">
        <v>26980357</v>
      </c>
    </row>
    <row r="87" spans="1:11">
      <c r="A87" t="s">
        <v>53</v>
      </c>
      <c r="B87" t="s">
        <v>82</v>
      </c>
      <c r="C87" s="1">
        <v>45385</v>
      </c>
      <c r="D87" t="s">
        <v>64</v>
      </c>
      <c r="E87" t="s">
        <v>20</v>
      </c>
      <c r="F87" t="s">
        <v>154</v>
      </c>
      <c r="G87">
        <v>3034</v>
      </c>
      <c r="H87">
        <v>9525</v>
      </c>
      <c r="I87">
        <v>1266825</v>
      </c>
      <c r="J87">
        <v>659581</v>
      </c>
      <c r="K87">
        <v>30825256</v>
      </c>
    </row>
    <row r="88" spans="1:11">
      <c r="A88" t="s">
        <v>75</v>
      </c>
      <c r="B88" t="s">
        <v>84</v>
      </c>
      <c r="C88" s="1">
        <v>45611</v>
      </c>
      <c r="D88" t="s">
        <v>88</v>
      </c>
      <c r="E88" t="s">
        <v>22</v>
      </c>
      <c r="F88" t="s">
        <v>95</v>
      </c>
      <c r="G88">
        <v>798</v>
      </c>
      <c r="I88">
        <v>4874352</v>
      </c>
      <c r="J88">
        <v>1012227</v>
      </c>
      <c r="K88">
        <v>16292499</v>
      </c>
    </row>
    <row r="89" spans="1:11">
      <c r="A89" t="s">
        <v>59</v>
      </c>
      <c r="B89" t="s">
        <v>63</v>
      </c>
      <c r="C89" s="1">
        <v>45636</v>
      </c>
      <c r="D89" t="s">
        <v>64</v>
      </c>
      <c r="E89" t="s">
        <v>20</v>
      </c>
      <c r="F89" t="s">
        <v>155</v>
      </c>
      <c r="G89">
        <v>2753</v>
      </c>
      <c r="H89">
        <v>7762</v>
      </c>
      <c r="I89">
        <v>2227694</v>
      </c>
      <c r="J89">
        <v>3105094</v>
      </c>
      <c r="K89">
        <v>26701574</v>
      </c>
    </row>
    <row r="90" spans="1:11">
      <c r="A90" t="s">
        <v>81</v>
      </c>
      <c r="B90" t="s">
        <v>63</v>
      </c>
      <c r="C90" s="1">
        <v>45303</v>
      </c>
      <c r="D90" t="s">
        <v>64</v>
      </c>
      <c r="E90" t="s">
        <v>20</v>
      </c>
      <c r="F90" t="s">
        <v>156</v>
      </c>
      <c r="G90">
        <v>2609</v>
      </c>
      <c r="H90">
        <v>27598</v>
      </c>
      <c r="I90">
        <v>13467824</v>
      </c>
      <c r="J90">
        <v>3310368</v>
      </c>
      <c r="K90">
        <v>88781374</v>
      </c>
    </row>
    <row r="91" spans="1:11">
      <c r="A91" t="s">
        <v>70</v>
      </c>
      <c r="B91" t="s">
        <v>82</v>
      </c>
      <c r="C91" s="1">
        <v>45324</v>
      </c>
      <c r="D91" t="s">
        <v>64</v>
      </c>
      <c r="E91" t="s">
        <v>20</v>
      </c>
      <c r="F91" t="s">
        <v>157</v>
      </c>
      <c r="G91">
        <v>4418</v>
      </c>
      <c r="H91">
        <v>8702</v>
      </c>
      <c r="I91">
        <v>3280654</v>
      </c>
      <c r="J91">
        <v>615109</v>
      </c>
      <c r="K91">
        <v>42341199</v>
      </c>
    </row>
    <row r="92" spans="1:11">
      <c r="A92" t="s">
        <v>59</v>
      </c>
      <c r="B92" t="s">
        <v>56</v>
      </c>
      <c r="C92" s="1">
        <v>45328</v>
      </c>
      <c r="D92" t="s">
        <v>51</v>
      </c>
      <c r="E92" t="s">
        <v>35</v>
      </c>
      <c r="F92" t="s">
        <v>158</v>
      </c>
      <c r="G92">
        <v>4849</v>
      </c>
      <c r="H92">
        <v>8214</v>
      </c>
      <c r="I92">
        <v>1667442</v>
      </c>
      <c r="J92">
        <v>4255125</v>
      </c>
      <c r="K92">
        <v>45752253</v>
      </c>
    </row>
    <row r="93" spans="1:11">
      <c r="A93" t="s">
        <v>77</v>
      </c>
      <c r="B93" t="s">
        <v>84</v>
      </c>
      <c r="C93" s="1">
        <v>45639</v>
      </c>
      <c r="D93" t="s">
        <v>57</v>
      </c>
      <c r="E93" t="s">
        <v>25</v>
      </c>
      <c r="F93" t="s">
        <v>121</v>
      </c>
      <c r="G93">
        <v>1750</v>
      </c>
      <c r="I93">
        <v>4231825</v>
      </c>
      <c r="J93">
        <v>3268157</v>
      </c>
      <c r="K93">
        <v>21531232</v>
      </c>
    </row>
    <row r="94" spans="1:11">
      <c r="A94" t="s">
        <v>75</v>
      </c>
      <c r="B94" t="s">
        <v>66</v>
      </c>
      <c r="C94" s="1">
        <v>45425</v>
      </c>
      <c r="D94" t="s">
        <v>51</v>
      </c>
      <c r="E94" t="s">
        <v>28</v>
      </c>
      <c r="F94" t="s">
        <v>159</v>
      </c>
      <c r="G94">
        <v>4279.8</v>
      </c>
      <c r="H94">
        <v>18095</v>
      </c>
      <c r="I94">
        <v>4089470</v>
      </c>
      <c r="J94">
        <v>1719569</v>
      </c>
      <c r="K94">
        <v>61125454</v>
      </c>
    </row>
    <row r="95" spans="1:11">
      <c r="A95" t="s">
        <v>70</v>
      </c>
      <c r="B95" t="s">
        <v>66</v>
      </c>
      <c r="C95" s="1">
        <v>45481</v>
      </c>
      <c r="D95" t="s">
        <v>51</v>
      </c>
      <c r="E95" t="s">
        <v>17</v>
      </c>
      <c r="F95" t="s">
        <v>160</v>
      </c>
      <c r="G95">
        <v>3586</v>
      </c>
      <c r="H95">
        <v>38295</v>
      </c>
      <c r="I95">
        <v>5476185</v>
      </c>
      <c r="J95">
        <v>887815</v>
      </c>
      <c r="K95">
        <v>143689870</v>
      </c>
    </row>
    <row r="96" spans="1:11">
      <c r="A96" t="s">
        <v>77</v>
      </c>
      <c r="B96" t="s">
        <v>60</v>
      </c>
      <c r="C96" s="1">
        <v>45632</v>
      </c>
      <c r="D96" t="s">
        <v>51</v>
      </c>
      <c r="E96" t="s">
        <v>17</v>
      </c>
      <c r="F96" t="s">
        <v>161</v>
      </c>
      <c r="G96">
        <v>3782</v>
      </c>
      <c r="H96">
        <v>39893</v>
      </c>
      <c r="I96">
        <v>6263201</v>
      </c>
      <c r="J96">
        <v>6333350</v>
      </c>
      <c r="K96">
        <v>158405197</v>
      </c>
    </row>
    <row r="97" spans="1:11">
      <c r="A97" t="s">
        <v>70</v>
      </c>
      <c r="B97" t="s">
        <v>56</v>
      </c>
      <c r="C97" s="1">
        <v>45507</v>
      </c>
      <c r="D97" t="s">
        <v>88</v>
      </c>
      <c r="E97" t="s">
        <v>22</v>
      </c>
      <c r="F97" t="s">
        <v>162</v>
      </c>
      <c r="G97">
        <v>4834.2</v>
      </c>
      <c r="H97">
        <v>14283</v>
      </c>
      <c r="I97">
        <v>5356125</v>
      </c>
      <c r="J97">
        <v>1549672</v>
      </c>
      <c r="K97">
        <v>56224996</v>
      </c>
    </row>
    <row r="98" spans="1:11">
      <c r="A98" t="s">
        <v>70</v>
      </c>
      <c r="B98" t="s">
        <v>50</v>
      </c>
      <c r="C98" s="1">
        <v>45353</v>
      </c>
      <c r="D98" t="s">
        <v>51</v>
      </c>
      <c r="E98" t="s">
        <v>33</v>
      </c>
      <c r="F98" t="s">
        <v>163</v>
      </c>
      <c r="G98">
        <v>4286</v>
      </c>
      <c r="H98">
        <v>8925</v>
      </c>
      <c r="I98">
        <v>2722125</v>
      </c>
      <c r="J98">
        <v>896661</v>
      </c>
      <c r="K98">
        <v>41871336</v>
      </c>
    </row>
    <row r="99" spans="1:11">
      <c r="A99" t="s">
        <v>62</v>
      </c>
      <c r="B99" t="s">
        <v>54</v>
      </c>
      <c r="C99" s="1">
        <v>45427</v>
      </c>
      <c r="D99" t="s">
        <v>64</v>
      </c>
      <c r="E99" t="s">
        <v>20</v>
      </c>
      <c r="F99" t="s">
        <v>164</v>
      </c>
      <c r="H99">
        <v>4885</v>
      </c>
      <c r="I99">
        <v>1734175</v>
      </c>
      <c r="J99">
        <v>4292613</v>
      </c>
      <c r="K99">
        <v>23891233</v>
      </c>
    </row>
    <row r="100" spans="1:11">
      <c r="A100" t="s">
        <v>62</v>
      </c>
      <c r="B100" t="s">
        <v>63</v>
      </c>
      <c r="C100" s="1">
        <v>45647</v>
      </c>
      <c r="D100" t="s">
        <v>51</v>
      </c>
      <c r="E100" t="s">
        <v>13</v>
      </c>
      <c r="F100" t="s">
        <v>122</v>
      </c>
      <c r="G100">
        <v>4529</v>
      </c>
      <c r="H100">
        <v>4425</v>
      </c>
      <c r="I100">
        <v>584100</v>
      </c>
      <c r="J100">
        <v>2385440</v>
      </c>
      <c r="K100">
        <v>23010365</v>
      </c>
    </row>
    <row r="101" spans="1:11">
      <c r="A101" t="s">
        <v>53</v>
      </c>
      <c r="B101" t="s">
        <v>60</v>
      </c>
      <c r="C101" s="1">
        <v>45499</v>
      </c>
      <c r="D101" t="s">
        <v>51</v>
      </c>
      <c r="E101" t="s">
        <v>17</v>
      </c>
      <c r="F101" t="s">
        <v>165</v>
      </c>
      <c r="G101">
        <v>726</v>
      </c>
      <c r="H101">
        <v>37105</v>
      </c>
      <c r="I101">
        <v>14545160</v>
      </c>
      <c r="J101">
        <v>835232</v>
      </c>
      <c r="K101">
        <v>42318622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C8113-0A46-494D-99BB-9E2100EAF43B}">
  <sheetPr codeName="Sheet2"/>
  <dimension ref="A1:I11"/>
  <sheetViews>
    <sheetView zoomScale="72" workbookViewId="0">
      <selection activeCell="E7" sqref="E7"/>
    </sheetView>
  </sheetViews>
  <sheetFormatPr defaultRowHeight="14.4"/>
  <cols>
    <col min="1" max="1" width="13.6640625" bestFit="1" customWidth="1"/>
    <col min="2" max="2" width="17.5546875" bestFit="1" customWidth="1"/>
    <col min="3" max="3" width="21.44140625" bestFit="1" customWidth="1"/>
    <col min="4" max="4" width="29.33203125" bestFit="1" customWidth="1"/>
    <col min="5" max="5" width="32.109375" bestFit="1" customWidth="1"/>
    <col min="6" max="6" width="25.6640625" bestFit="1" customWidth="1"/>
    <col min="7" max="7" width="38.109375" bestFit="1" customWidth="1"/>
    <col min="8" max="8" width="14" bestFit="1" customWidth="1"/>
    <col min="9" max="9" width="45.21875" bestFit="1" customWidth="1"/>
  </cols>
  <sheetData>
    <row r="1" spans="1:9">
      <c r="A1" t="s">
        <v>0</v>
      </c>
      <c r="B1" t="s">
        <v>1</v>
      </c>
      <c r="C1" t="s">
        <v>2</v>
      </c>
      <c r="D1" t="s">
        <v>3</v>
      </c>
      <c r="E1" t="s">
        <v>4</v>
      </c>
      <c r="F1" t="s">
        <v>5</v>
      </c>
      <c r="G1" t="s">
        <v>6</v>
      </c>
      <c r="H1" t="s">
        <v>7</v>
      </c>
      <c r="I1" t="s">
        <v>8</v>
      </c>
    </row>
    <row r="2" spans="1:9">
      <c r="A2" t="s">
        <v>9</v>
      </c>
      <c r="B2" t="s">
        <v>10</v>
      </c>
      <c r="C2">
        <v>2027</v>
      </c>
      <c r="D2">
        <v>33738</v>
      </c>
      <c r="E2">
        <v>46</v>
      </c>
      <c r="F2">
        <v>116</v>
      </c>
      <c r="G2">
        <v>22334556</v>
      </c>
      <c r="H2" t="s">
        <v>11</v>
      </c>
      <c r="I2" t="s">
        <v>12</v>
      </c>
    </row>
    <row r="3" spans="1:9">
      <c r="A3" t="s">
        <v>13</v>
      </c>
      <c r="B3" t="s">
        <v>14</v>
      </c>
      <c r="C3">
        <v>1573</v>
      </c>
      <c r="D3">
        <v>35223</v>
      </c>
      <c r="E3">
        <v>34</v>
      </c>
      <c r="F3">
        <v>430</v>
      </c>
      <c r="G3">
        <v>25360560</v>
      </c>
      <c r="H3" t="s">
        <v>15</v>
      </c>
      <c r="I3" t="s">
        <v>16</v>
      </c>
    </row>
    <row r="4" spans="1:9">
      <c r="A4" t="s">
        <v>17</v>
      </c>
      <c r="B4" t="s">
        <v>18</v>
      </c>
      <c r="C4">
        <v>1025</v>
      </c>
      <c r="D4">
        <v>11057</v>
      </c>
      <c r="E4">
        <v>12</v>
      </c>
      <c r="F4">
        <v>371</v>
      </c>
      <c r="G4">
        <v>7983154</v>
      </c>
      <c r="H4" t="s">
        <v>15</v>
      </c>
      <c r="I4" t="s">
        <v>19</v>
      </c>
    </row>
    <row r="5" spans="1:9">
      <c r="A5" t="s">
        <v>20</v>
      </c>
      <c r="B5" t="s">
        <v>18</v>
      </c>
      <c r="C5">
        <v>2437</v>
      </c>
      <c r="D5">
        <v>25729</v>
      </c>
      <c r="E5">
        <v>30</v>
      </c>
      <c r="F5">
        <v>584</v>
      </c>
      <c r="G5">
        <v>18730712</v>
      </c>
      <c r="H5" t="s">
        <v>11</v>
      </c>
      <c r="I5" t="s">
        <v>21</v>
      </c>
    </row>
    <row r="6" spans="1:9">
      <c r="A6" t="s">
        <v>22</v>
      </c>
      <c r="B6" t="s">
        <v>23</v>
      </c>
      <c r="C6">
        <v>3436</v>
      </c>
      <c r="D6">
        <v>18609</v>
      </c>
      <c r="E6">
        <v>55</v>
      </c>
      <c r="F6">
        <v>736</v>
      </c>
      <c r="G6">
        <v>4856949</v>
      </c>
      <c r="H6" t="s">
        <v>11</v>
      </c>
      <c r="I6" t="s">
        <v>24</v>
      </c>
    </row>
    <row r="7" spans="1:9">
      <c r="A7" t="s">
        <v>25</v>
      </c>
      <c r="B7" t="s">
        <v>26</v>
      </c>
      <c r="C7">
        <v>992</v>
      </c>
      <c r="E7">
        <v>30</v>
      </c>
      <c r="F7">
        <v>81</v>
      </c>
      <c r="G7">
        <v>8678356</v>
      </c>
      <c r="H7" t="s">
        <v>11</v>
      </c>
      <c r="I7" t="s">
        <v>27</v>
      </c>
    </row>
    <row r="8" spans="1:9">
      <c r="A8" t="s">
        <v>28</v>
      </c>
      <c r="B8" t="s">
        <v>29</v>
      </c>
      <c r="C8">
        <v>1431</v>
      </c>
      <c r="D8">
        <v>19089</v>
      </c>
      <c r="E8">
        <v>32</v>
      </c>
      <c r="F8">
        <v>429</v>
      </c>
      <c r="G8">
        <v>10193526</v>
      </c>
      <c r="H8" t="s">
        <v>15</v>
      </c>
      <c r="I8" t="s">
        <v>30</v>
      </c>
    </row>
    <row r="9" spans="1:9">
      <c r="A9" t="s">
        <v>31</v>
      </c>
      <c r="B9" t="s">
        <v>29</v>
      </c>
      <c r="C9">
        <v>2499</v>
      </c>
      <c r="D9">
        <v>11603</v>
      </c>
      <c r="E9">
        <v>43</v>
      </c>
      <c r="F9">
        <v>298</v>
      </c>
      <c r="G9">
        <v>6462871</v>
      </c>
      <c r="H9" t="s">
        <v>15</v>
      </c>
      <c r="I9" t="s">
        <v>32</v>
      </c>
    </row>
    <row r="10" spans="1:9">
      <c r="A10" t="s">
        <v>33</v>
      </c>
      <c r="B10" t="s">
        <v>18</v>
      </c>
      <c r="C10">
        <v>3351</v>
      </c>
      <c r="D10">
        <v>36448</v>
      </c>
      <c r="E10">
        <v>33</v>
      </c>
      <c r="F10">
        <v>483</v>
      </c>
      <c r="G10">
        <v>20228640</v>
      </c>
      <c r="H10" t="s">
        <v>15</v>
      </c>
      <c r="I10" t="s">
        <v>34</v>
      </c>
    </row>
    <row r="11" spans="1:9">
      <c r="A11" t="s">
        <v>35</v>
      </c>
      <c r="B11" t="s">
        <v>36</v>
      </c>
      <c r="C11">
        <v>3326</v>
      </c>
      <c r="D11">
        <v>3197</v>
      </c>
      <c r="E11">
        <v>23</v>
      </c>
      <c r="F11">
        <v>271</v>
      </c>
      <c r="G11">
        <v>792856</v>
      </c>
      <c r="H11" t="s">
        <v>15</v>
      </c>
      <c r="I11" t="s">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C2503-9F7A-4F15-BCB1-6530ED9971CD}">
  <sheetPr codeName="Sheet3"/>
  <dimension ref="A1:V126"/>
  <sheetViews>
    <sheetView topLeftCell="A18" zoomScale="53" zoomScaleNormal="85" workbookViewId="0">
      <selection sqref="A1:K101"/>
    </sheetView>
  </sheetViews>
  <sheetFormatPr defaultRowHeight="14.4"/>
  <cols>
    <col min="1" max="1" width="23.88671875" bestFit="1" customWidth="1"/>
    <col min="2" max="2" width="10.109375" bestFit="1" customWidth="1"/>
    <col min="3" max="3" width="17.44140625" style="1" bestFit="1" customWidth="1"/>
    <col min="4" max="4" width="16.5546875" bestFit="1" customWidth="1"/>
    <col min="5" max="5" width="17.6640625" bestFit="1" customWidth="1"/>
    <col min="6" max="6" width="45.21875" bestFit="1" customWidth="1"/>
    <col min="7" max="7" width="20.5546875" customWidth="1"/>
    <col min="8" max="8" width="22.88671875" customWidth="1"/>
    <col min="9" max="9" width="23.33203125" bestFit="1" customWidth="1"/>
    <col min="10" max="10" width="26" bestFit="1" customWidth="1"/>
    <col min="11" max="11" width="19.77734375" bestFit="1" customWidth="1"/>
    <col min="14" max="15" width="9" bestFit="1" customWidth="1"/>
    <col min="16" max="16" width="24.109375" customWidth="1"/>
    <col min="18" max="18" width="27.44140625" customWidth="1"/>
    <col min="19" max="19" width="24" bestFit="1" customWidth="1"/>
    <col min="20" max="20" width="24.109375" bestFit="1" customWidth="1"/>
    <col min="21" max="21" width="23.88671875" bestFit="1" customWidth="1"/>
    <col min="22" max="22" width="46.109375" bestFit="1" customWidth="1"/>
    <col min="23" max="23" width="19.6640625" customWidth="1"/>
  </cols>
  <sheetData>
    <row r="1" spans="1:16">
      <c r="A1" t="s">
        <v>38</v>
      </c>
      <c r="B1" t="s">
        <v>39</v>
      </c>
      <c r="C1" s="1" t="s">
        <v>40</v>
      </c>
      <c r="D1" t="s">
        <v>41</v>
      </c>
      <c r="E1" t="s">
        <v>42</v>
      </c>
      <c r="F1" t="s">
        <v>43</v>
      </c>
      <c r="G1" t="s">
        <v>44</v>
      </c>
      <c r="H1" t="s">
        <v>45</v>
      </c>
      <c r="I1" t="s">
        <v>46</v>
      </c>
      <c r="J1" t="s">
        <v>47</v>
      </c>
      <c r="K1" t="s">
        <v>48</v>
      </c>
    </row>
    <row r="2" spans="1:16">
      <c r="A2" t="s">
        <v>49</v>
      </c>
      <c r="B2" t="s">
        <v>50</v>
      </c>
      <c r="C2" s="1">
        <v>45303</v>
      </c>
      <c r="D2" s="2" t="s">
        <v>166</v>
      </c>
      <c r="E2" t="s">
        <v>33</v>
      </c>
      <c r="F2" t="s">
        <v>52</v>
      </c>
      <c r="G2">
        <v>1253</v>
      </c>
      <c r="H2">
        <v>6166</v>
      </c>
      <c r="I2">
        <v>1942290</v>
      </c>
      <c r="J2">
        <v>3680408</v>
      </c>
      <c r="K2">
        <v>13348696</v>
      </c>
      <c r="P2">
        <f>_xlfn.QUARTILE.INC($G$2:$G$101,1)</f>
        <v>1824</v>
      </c>
    </row>
    <row r="3" spans="1:16">
      <c r="A3" t="s">
        <v>53</v>
      </c>
      <c r="B3" t="s">
        <v>54</v>
      </c>
      <c r="C3" s="1">
        <v>45403</v>
      </c>
      <c r="D3" s="2" t="s">
        <v>166</v>
      </c>
      <c r="E3" t="s">
        <v>13</v>
      </c>
      <c r="F3" t="s">
        <v>55</v>
      </c>
      <c r="G3">
        <v>1689</v>
      </c>
      <c r="H3">
        <v>40643</v>
      </c>
      <c r="I3">
        <v>16622987</v>
      </c>
      <c r="J3">
        <v>2589481</v>
      </c>
      <c r="K3">
        <v>87858495</v>
      </c>
      <c r="P3">
        <f>_xlfn.QUARTILE.INC($G$2:$G$101,3)</f>
        <v>4045.25</v>
      </c>
    </row>
    <row r="4" spans="1:16">
      <c r="A4" t="s">
        <v>49</v>
      </c>
      <c r="B4" t="s">
        <v>56</v>
      </c>
      <c r="C4" s="1">
        <v>45553</v>
      </c>
      <c r="D4" t="s">
        <v>57</v>
      </c>
      <c r="E4" t="s">
        <v>25</v>
      </c>
      <c r="F4" t="s">
        <v>58</v>
      </c>
      <c r="G4">
        <v>6813.8</v>
      </c>
      <c r="H4">
        <v>17889.900000000001</v>
      </c>
      <c r="I4">
        <v>7667100</v>
      </c>
      <c r="J4">
        <v>640053</v>
      </c>
      <c r="K4">
        <v>132693072</v>
      </c>
      <c r="P4">
        <f>P3-P2</f>
        <v>2221.25</v>
      </c>
    </row>
    <row r="5" spans="1:16">
      <c r="A5" t="s">
        <v>59</v>
      </c>
      <c r="B5" t="s">
        <v>60</v>
      </c>
      <c r="C5" s="1">
        <v>45353</v>
      </c>
      <c r="D5" s="2" t="s">
        <v>166</v>
      </c>
      <c r="E5" t="s">
        <v>13</v>
      </c>
      <c r="F5" t="s">
        <v>61</v>
      </c>
      <c r="G5">
        <v>2144</v>
      </c>
      <c r="H5">
        <v>14688</v>
      </c>
      <c r="I5">
        <v>2350080</v>
      </c>
      <c r="J5">
        <v>2712686</v>
      </c>
      <c r="K5">
        <v>36553838</v>
      </c>
      <c r="O5">
        <f>AVERAGE(H2:H101)</f>
        <v>21373.118600000002</v>
      </c>
      <c r="P5">
        <f>P2-(1.5*P4)</f>
        <v>-1507.875</v>
      </c>
    </row>
    <row r="6" spans="1:16">
      <c r="A6" t="s">
        <v>62</v>
      </c>
      <c r="B6" t="s">
        <v>63</v>
      </c>
      <c r="C6" s="1">
        <v>45454</v>
      </c>
      <c r="D6" t="s">
        <v>64</v>
      </c>
      <c r="E6" t="s">
        <v>20</v>
      </c>
      <c r="F6" t="s">
        <v>65</v>
      </c>
      <c r="G6">
        <v>1886</v>
      </c>
      <c r="H6">
        <v>35244</v>
      </c>
      <c r="I6">
        <v>6132456</v>
      </c>
      <c r="J6">
        <v>1181193</v>
      </c>
      <c r="K6">
        <v>73783833</v>
      </c>
      <c r="P6">
        <f>P3+(1.5*P4)</f>
        <v>7377.125</v>
      </c>
    </row>
    <row r="7" spans="1:16">
      <c r="A7" t="s">
        <v>53</v>
      </c>
      <c r="B7" t="s">
        <v>66</v>
      </c>
      <c r="C7" s="1">
        <v>45437</v>
      </c>
      <c r="D7" s="2" t="s">
        <v>166</v>
      </c>
      <c r="E7" t="s">
        <v>17</v>
      </c>
      <c r="F7" t="s">
        <v>67</v>
      </c>
      <c r="G7">
        <v>3984</v>
      </c>
      <c r="H7">
        <v>31020</v>
      </c>
      <c r="I7">
        <v>2252122</v>
      </c>
      <c r="J7">
        <v>2302603</v>
      </c>
      <c r="K7">
        <v>58605653</v>
      </c>
      <c r="O7">
        <f>AVERAGEIFS($H$2:$H$101,$A$2:$A$101,A7,$B$2:$B$101,B7)</f>
        <v>31020</v>
      </c>
    </row>
    <row r="8" spans="1:16">
      <c r="A8" t="s">
        <v>53</v>
      </c>
      <c r="B8" t="s">
        <v>60</v>
      </c>
      <c r="C8" s="1">
        <v>45371</v>
      </c>
      <c r="D8" t="s">
        <v>57</v>
      </c>
      <c r="E8" t="s">
        <v>25</v>
      </c>
      <c r="F8" t="s">
        <v>68</v>
      </c>
      <c r="G8">
        <v>1162.4000000000001</v>
      </c>
      <c r="H8">
        <v>18778.2</v>
      </c>
      <c r="I8">
        <v>4828680</v>
      </c>
      <c r="J8">
        <v>4948076</v>
      </c>
      <c r="K8">
        <v>111635078</v>
      </c>
      <c r="N8">
        <f>AVERAGEIFS($G$2:$G$101,$A$2:$A$101,A8,$B$2:$B$101,B8)</f>
        <v>1162.3999999999999</v>
      </c>
      <c r="P8">
        <f>_xlfn.QUARTILE.INC($H$2:$H$101,1)</f>
        <v>11366.6</v>
      </c>
    </row>
    <row r="9" spans="1:16">
      <c r="A9" t="s">
        <v>49</v>
      </c>
      <c r="B9" t="s">
        <v>63</v>
      </c>
      <c r="C9" s="1">
        <v>45462</v>
      </c>
      <c r="D9" s="2" t="s">
        <v>166</v>
      </c>
      <c r="E9" t="s">
        <v>33</v>
      </c>
      <c r="F9" t="s">
        <v>69</v>
      </c>
      <c r="G9">
        <v>840</v>
      </c>
      <c r="H9">
        <v>33535</v>
      </c>
      <c r="I9">
        <v>12206740</v>
      </c>
      <c r="J9">
        <v>1201595</v>
      </c>
      <c r="K9">
        <v>41577735</v>
      </c>
      <c r="P9">
        <f>_xlfn.QUARTILE.INC($H$2:$H$101,3)</f>
        <v>31201.25</v>
      </c>
    </row>
    <row r="10" spans="1:16">
      <c r="A10" t="s">
        <v>70</v>
      </c>
      <c r="B10" t="s">
        <v>54</v>
      </c>
      <c r="C10" s="1">
        <v>45440</v>
      </c>
      <c r="D10" s="2" t="s">
        <v>166</v>
      </c>
      <c r="E10" t="s">
        <v>35</v>
      </c>
      <c r="F10" t="s">
        <v>71</v>
      </c>
      <c r="G10">
        <v>4191</v>
      </c>
      <c r="H10">
        <v>21248.01</v>
      </c>
      <c r="I10">
        <v>4279770</v>
      </c>
      <c r="J10">
        <v>3427104</v>
      </c>
      <c r="K10">
        <v>81824709</v>
      </c>
      <c r="O10">
        <f>AVERAGEIFS($H$2:$H$101,$A$2:$A$101,A10,$B$2:$B$101,B10)</f>
        <v>21248.01</v>
      </c>
      <c r="P10">
        <f>P9-P8</f>
        <v>19834.650000000001</v>
      </c>
    </row>
    <row r="11" spans="1:16">
      <c r="A11" t="s">
        <v>72</v>
      </c>
      <c r="B11" t="s">
        <v>50</v>
      </c>
      <c r="C11" s="1">
        <v>45319</v>
      </c>
      <c r="D11" s="2" t="s">
        <v>166</v>
      </c>
      <c r="E11" t="s">
        <v>13</v>
      </c>
      <c r="F11" t="s">
        <v>73</v>
      </c>
      <c r="G11">
        <v>1823</v>
      </c>
      <c r="H11">
        <v>15513</v>
      </c>
      <c r="I11">
        <v>7539318</v>
      </c>
      <c r="J11">
        <v>3948781</v>
      </c>
      <c r="K11">
        <v>39768298</v>
      </c>
      <c r="P11">
        <f>P8-(1.5*P10)</f>
        <v>-18385.375</v>
      </c>
    </row>
    <row r="12" spans="1:16">
      <c r="A12" t="s">
        <v>62</v>
      </c>
      <c r="B12" t="s">
        <v>66</v>
      </c>
      <c r="C12" s="1">
        <v>45462</v>
      </c>
      <c r="D12" s="2" t="s">
        <v>166</v>
      </c>
      <c r="E12" t="s">
        <v>28</v>
      </c>
      <c r="F12" t="s">
        <v>74</v>
      </c>
      <c r="G12">
        <v>3953.6</v>
      </c>
      <c r="H12">
        <v>21693</v>
      </c>
      <c r="I12">
        <v>9306297</v>
      </c>
      <c r="J12">
        <v>4798020</v>
      </c>
      <c r="K12">
        <v>75365349</v>
      </c>
      <c r="P12">
        <f>P9+(1.5*P10)</f>
        <v>60953.225000000006</v>
      </c>
    </row>
    <row r="13" spans="1:16">
      <c r="A13" t="s">
        <v>75</v>
      </c>
      <c r="B13" t="s">
        <v>60</v>
      </c>
      <c r="C13" s="1">
        <v>45649</v>
      </c>
      <c r="D13" s="2" t="s">
        <v>166</v>
      </c>
      <c r="E13" t="s">
        <v>35</v>
      </c>
      <c r="F13" t="s">
        <v>76</v>
      </c>
      <c r="G13">
        <v>2842</v>
      </c>
      <c r="H13">
        <v>24021</v>
      </c>
      <c r="I13">
        <v>5020389</v>
      </c>
      <c r="J13">
        <v>2851905</v>
      </c>
      <c r="K13">
        <v>76139976</v>
      </c>
    </row>
    <row r="14" spans="1:16">
      <c r="A14" t="s">
        <v>77</v>
      </c>
      <c r="B14" t="s">
        <v>78</v>
      </c>
      <c r="C14" s="1">
        <v>45428</v>
      </c>
      <c r="D14" t="s">
        <v>79</v>
      </c>
      <c r="E14" t="s">
        <v>9</v>
      </c>
      <c r="F14" t="s">
        <v>80</v>
      </c>
      <c r="G14">
        <v>528</v>
      </c>
      <c r="H14">
        <v>33241</v>
      </c>
      <c r="I14">
        <v>2659280</v>
      </c>
      <c r="J14">
        <v>3167786</v>
      </c>
      <c r="K14">
        <v>19328026</v>
      </c>
      <c r="P14">
        <f>_xlfn.QUARTILE.INC($I$2:$I$101,1)</f>
        <v>2706413.75</v>
      </c>
    </row>
    <row r="15" spans="1:16">
      <c r="A15" t="s">
        <v>81</v>
      </c>
      <c r="B15" t="s">
        <v>82</v>
      </c>
      <c r="C15" s="1">
        <v>45644</v>
      </c>
      <c r="D15" s="2" t="s">
        <v>166</v>
      </c>
      <c r="E15" t="s">
        <v>31</v>
      </c>
      <c r="F15" t="s">
        <v>83</v>
      </c>
      <c r="G15">
        <v>1543</v>
      </c>
      <c r="H15">
        <v>19867</v>
      </c>
      <c r="I15">
        <v>2821114</v>
      </c>
      <c r="J15">
        <v>2897760</v>
      </c>
      <c r="K15">
        <v>36373655</v>
      </c>
      <c r="P15">
        <f>_xlfn.QUARTILE.INC($I$2:$I$101,3)</f>
        <v>7890040</v>
      </c>
    </row>
    <row r="16" spans="1:16">
      <c r="A16" t="s">
        <v>62</v>
      </c>
      <c r="B16" t="s">
        <v>84</v>
      </c>
      <c r="C16" s="1">
        <v>45344</v>
      </c>
      <c r="D16" s="2" t="s">
        <v>166</v>
      </c>
      <c r="E16" t="s">
        <v>35</v>
      </c>
      <c r="F16" t="s">
        <v>85</v>
      </c>
      <c r="G16">
        <v>2188</v>
      </c>
      <c r="H16">
        <v>20603</v>
      </c>
      <c r="I16">
        <v>9559792</v>
      </c>
      <c r="J16">
        <v>4600450</v>
      </c>
      <c r="K16">
        <v>59239606</v>
      </c>
      <c r="P16">
        <f>P15-P14</f>
        <v>5183626.25</v>
      </c>
    </row>
    <row r="17" spans="1:22">
      <c r="A17" t="s">
        <v>59</v>
      </c>
      <c r="B17" t="s">
        <v>50</v>
      </c>
      <c r="C17" s="1">
        <v>45581</v>
      </c>
      <c r="D17" t="s">
        <v>57</v>
      </c>
      <c r="E17" t="s">
        <v>25</v>
      </c>
      <c r="F17" t="s">
        <v>86</v>
      </c>
      <c r="G17">
        <v>2217.6</v>
      </c>
      <c r="H17">
        <v>9504.6</v>
      </c>
      <c r="I17">
        <v>5892852</v>
      </c>
      <c r="J17">
        <v>795307</v>
      </c>
      <c r="K17">
        <v>28195711</v>
      </c>
      <c r="P17">
        <f>P14-(1.5*P16)</f>
        <v>-5069025.625</v>
      </c>
    </row>
    <row r="18" spans="1:22">
      <c r="A18" t="s">
        <v>72</v>
      </c>
      <c r="B18" t="s">
        <v>54</v>
      </c>
      <c r="C18" s="1">
        <v>45455</v>
      </c>
      <c r="D18" t="s">
        <v>57</v>
      </c>
      <c r="E18" t="s">
        <v>25</v>
      </c>
      <c r="F18" t="s">
        <v>87</v>
      </c>
      <c r="G18">
        <v>5397</v>
      </c>
      <c r="H18">
        <v>9158.1</v>
      </c>
      <c r="I18">
        <v>1687707</v>
      </c>
      <c r="J18">
        <v>2188470</v>
      </c>
      <c r="K18">
        <v>54311142</v>
      </c>
      <c r="P18">
        <f>P15+(1.5*P16)</f>
        <v>15665479.375</v>
      </c>
    </row>
    <row r="19" spans="1:22">
      <c r="A19" t="s">
        <v>53</v>
      </c>
      <c r="B19" t="s">
        <v>78</v>
      </c>
      <c r="C19" s="1">
        <v>45384</v>
      </c>
      <c r="D19" t="s">
        <v>88</v>
      </c>
      <c r="E19" t="s">
        <v>22</v>
      </c>
      <c r="F19" t="s">
        <v>89</v>
      </c>
      <c r="G19">
        <v>1601.6</v>
      </c>
      <c r="H19">
        <v>11790</v>
      </c>
      <c r="I19">
        <v>3030030</v>
      </c>
      <c r="J19">
        <v>3635278</v>
      </c>
      <c r="K19">
        <v>20153068</v>
      </c>
    </row>
    <row r="20" spans="1:22">
      <c r="A20" t="s">
        <v>53</v>
      </c>
      <c r="B20" t="s">
        <v>54</v>
      </c>
      <c r="C20" s="1">
        <v>45531</v>
      </c>
      <c r="D20" s="2" t="s">
        <v>166</v>
      </c>
      <c r="E20" t="s">
        <v>35</v>
      </c>
      <c r="F20" t="s">
        <v>90</v>
      </c>
      <c r="G20">
        <v>4564</v>
      </c>
      <c r="H20">
        <v>31755</v>
      </c>
      <c r="I20">
        <v>6890835</v>
      </c>
      <c r="J20">
        <v>4732974</v>
      </c>
      <c r="K20">
        <v>156553629</v>
      </c>
      <c r="P20">
        <f>_xlfn.QUARTILE.INC($J$2:$J$101,1)</f>
        <v>1769087.75</v>
      </c>
    </row>
    <row r="21" spans="1:22">
      <c r="A21" t="s">
        <v>75</v>
      </c>
      <c r="B21" t="s">
        <v>63</v>
      </c>
      <c r="C21" s="1">
        <v>45634</v>
      </c>
      <c r="D21" t="s">
        <v>57</v>
      </c>
      <c r="E21" t="s">
        <v>25</v>
      </c>
      <c r="F21" t="s">
        <v>91</v>
      </c>
      <c r="G21">
        <v>3350.2</v>
      </c>
      <c r="H21">
        <v>2975.7</v>
      </c>
      <c r="I21">
        <v>1041495</v>
      </c>
      <c r="J21">
        <v>3001940</v>
      </c>
      <c r="K21">
        <v>14216078</v>
      </c>
      <c r="P21">
        <f>_xlfn.QUARTILE.INC($J$2:$J$101,3)</f>
        <v>4132571.25</v>
      </c>
    </row>
    <row r="22" spans="1:22">
      <c r="A22" t="s">
        <v>75</v>
      </c>
      <c r="B22" t="s">
        <v>54</v>
      </c>
      <c r="C22" s="1">
        <v>45460</v>
      </c>
      <c r="D22" s="2" t="s">
        <v>166</v>
      </c>
      <c r="E22" t="s">
        <v>33</v>
      </c>
      <c r="F22" t="s">
        <v>92</v>
      </c>
      <c r="G22">
        <v>4045</v>
      </c>
      <c r="H22">
        <v>27719</v>
      </c>
      <c r="I22">
        <v>7539568</v>
      </c>
      <c r="J22">
        <v>4670910</v>
      </c>
      <c r="K22">
        <v>124333833</v>
      </c>
      <c r="P22">
        <f>P21-P20</f>
        <v>2363483.5</v>
      </c>
    </row>
    <row r="23" spans="1:22">
      <c r="A23" t="s">
        <v>75</v>
      </c>
      <c r="B23" t="s">
        <v>56</v>
      </c>
      <c r="C23" s="1">
        <v>45425</v>
      </c>
      <c r="D23" t="s">
        <v>64</v>
      </c>
      <c r="E23" t="s">
        <v>20</v>
      </c>
      <c r="F23" t="s">
        <v>93</v>
      </c>
      <c r="G23">
        <v>1008</v>
      </c>
      <c r="H23">
        <v>21142</v>
      </c>
      <c r="I23">
        <v>2558182</v>
      </c>
      <c r="J23">
        <v>1632574</v>
      </c>
      <c r="K23">
        <v>25501892</v>
      </c>
      <c r="P23">
        <f>P20-(1.5*P22)</f>
        <v>-1776137.5</v>
      </c>
    </row>
    <row r="24" spans="1:22">
      <c r="A24" t="s">
        <v>49</v>
      </c>
      <c r="B24" t="s">
        <v>94</v>
      </c>
      <c r="C24" s="1">
        <v>45474</v>
      </c>
      <c r="D24" s="2" t="s">
        <v>166</v>
      </c>
      <c r="E24" t="s">
        <v>31</v>
      </c>
      <c r="F24" t="s">
        <v>95</v>
      </c>
      <c r="G24">
        <v>2334</v>
      </c>
      <c r="H24">
        <v>16842</v>
      </c>
      <c r="I24">
        <v>6905220</v>
      </c>
      <c r="J24">
        <v>1067015</v>
      </c>
      <c r="K24">
        <v>47281463</v>
      </c>
      <c r="P24">
        <f>P21+(1.5*P22)</f>
        <v>7677796.5</v>
      </c>
    </row>
    <row r="25" spans="1:22">
      <c r="A25" t="s">
        <v>96</v>
      </c>
      <c r="B25" t="s">
        <v>54</v>
      </c>
      <c r="C25" s="1">
        <v>45299</v>
      </c>
      <c r="D25" t="s">
        <v>79</v>
      </c>
      <c r="E25" t="s">
        <v>9</v>
      </c>
      <c r="F25" t="s">
        <v>97</v>
      </c>
      <c r="G25">
        <v>2930.05</v>
      </c>
      <c r="H25">
        <v>14456</v>
      </c>
      <c r="I25">
        <v>4603680</v>
      </c>
      <c r="J25">
        <v>2403962</v>
      </c>
      <c r="K25">
        <v>41090442</v>
      </c>
      <c r="N25">
        <f>AVERAGEIFS($G$2:$G$101,$A$2:$A$101,A25,$B$2:$B$101,B25)</f>
        <v>2930.05</v>
      </c>
    </row>
    <row r="26" spans="1:22">
      <c r="A26" t="s">
        <v>81</v>
      </c>
      <c r="B26" t="s">
        <v>84</v>
      </c>
      <c r="C26" s="1">
        <v>45416</v>
      </c>
      <c r="D26" s="2" t="s">
        <v>166</v>
      </c>
      <c r="E26" t="s">
        <v>33</v>
      </c>
      <c r="F26" t="s">
        <v>98</v>
      </c>
      <c r="G26">
        <v>3977</v>
      </c>
      <c r="H26">
        <v>25243</v>
      </c>
      <c r="I26">
        <v>9238938</v>
      </c>
      <c r="J26">
        <v>4689343</v>
      </c>
      <c r="K26">
        <v>114319692</v>
      </c>
      <c r="P26">
        <f>_xlfn.QUARTILE.INC($K$2:$K$101,1)</f>
        <v>29966146.75</v>
      </c>
    </row>
    <row r="27" spans="1:22">
      <c r="A27" t="s">
        <v>75</v>
      </c>
      <c r="B27" t="s">
        <v>66</v>
      </c>
      <c r="C27" s="1">
        <v>45407</v>
      </c>
      <c r="D27" s="2" t="s">
        <v>166</v>
      </c>
      <c r="E27" t="s">
        <v>13</v>
      </c>
      <c r="F27" t="s">
        <v>99</v>
      </c>
      <c r="G27">
        <v>3449</v>
      </c>
      <c r="H27">
        <v>13539</v>
      </c>
      <c r="I27">
        <v>5672841</v>
      </c>
      <c r="J27">
        <v>3471436</v>
      </c>
      <c r="K27">
        <v>55840288</v>
      </c>
      <c r="P27">
        <f>_xlfn.QUARTILE.INC($K$2:$K$101,3)</f>
        <v>94790208</v>
      </c>
    </row>
    <row r="28" spans="1:22">
      <c r="A28" t="s">
        <v>62</v>
      </c>
      <c r="B28" t="s">
        <v>78</v>
      </c>
      <c r="C28" s="1">
        <v>45316</v>
      </c>
      <c r="D28" s="2" t="s">
        <v>166</v>
      </c>
      <c r="E28" t="s">
        <v>33</v>
      </c>
      <c r="F28" t="s">
        <v>100</v>
      </c>
      <c r="G28">
        <v>3668</v>
      </c>
      <c r="H28">
        <v>36462</v>
      </c>
      <c r="I28">
        <v>5250528</v>
      </c>
      <c r="J28">
        <v>2377592</v>
      </c>
      <c r="K28">
        <v>141370736</v>
      </c>
      <c r="P28">
        <f>P27-P26</f>
        <v>64824061.25</v>
      </c>
    </row>
    <row r="29" spans="1:22">
      <c r="A29" t="s">
        <v>49</v>
      </c>
      <c r="B29" t="s">
        <v>60</v>
      </c>
      <c r="C29" s="1">
        <v>45539</v>
      </c>
      <c r="D29" s="2" t="s">
        <v>166</v>
      </c>
      <c r="E29" t="s">
        <v>33</v>
      </c>
      <c r="F29" t="s">
        <v>101</v>
      </c>
      <c r="G29">
        <v>3279</v>
      </c>
      <c r="H29">
        <v>32540</v>
      </c>
      <c r="I29">
        <v>13341400</v>
      </c>
      <c r="J29">
        <v>2840750</v>
      </c>
      <c r="K29">
        <v>122880810</v>
      </c>
      <c r="P29">
        <f>P26-(1.5*P28)</f>
        <v>-67269945.125</v>
      </c>
    </row>
    <row r="30" spans="1:22">
      <c r="A30" t="s">
        <v>49</v>
      </c>
      <c r="B30" t="s">
        <v>84</v>
      </c>
      <c r="C30" s="1">
        <v>45639</v>
      </c>
      <c r="D30" s="2" t="s">
        <v>166</v>
      </c>
      <c r="E30" t="s">
        <v>13</v>
      </c>
      <c r="F30" t="s">
        <v>102</v>
      </c>
      <c r="G30">
        <v>2948</v>
      </c>
      <c r="H30">
        <v>9316</v>
      </c>
      <c r="I30">
        <v>1266976</v>
      </c>
      <c r="J30">
        <v>2704822</v>
      </c>
      <c r="K30">
        <v>31435366</v>
      </c>
      <c r="P30">
        <f>P27+(1.5*P28)</f>
        <v>192026299.875</v>
      </c>
    </row>
    <row r="31" spans="1:22">
      <c r="A31" t="s">
        <v>49</v>
      </c>
      <c r="B31" t="s">
        <v>54</v>
      </c>
      <c r="C31" s="1">
        <v>45647</v>
      </c>
      <c r="D31" s="2" t="s">
        <v>166</v>
      </c>
      <c r="E31" t="s">
        <v>28</v>
      </c>
      <c r="F31" t="s">
        <v>103</v>
      </c>
      <c r="G31">
        <v>2749.6</v>
      </c>
      <c r="H31">
        <v>17172</v>
      </c>
      <c r="I31">
        <v>7830432</v>
      </c>
      <c r="J31">
        <v>3956927</v>
      </c>
      <c r="K31">
        <v>45513167</v>
      </c>
    </row>
    <row r="32" spans="1:22">
      <c r="A32" t="s">
        <v>53</v>
      </c>
      <c r="B32" t="s">
        <v>56</v>
      </c>
      <c r="C32" s="1">
        <v>45410</v>
      </c>
      <c r="D32" s="2" t="s">
        <v>166</v>
      </c>
      <c r="E32" t="s">
        <v>13</v>
      </c>
      <c r="F32" t="s">
        <v>104</v>
      </c>
      <c r="G32">
        <v>4503</v>
      </c>
      <c r="H32">
        <v>16737</v>
      </c>
      <c r="I32">
        <v>6276375</v>
      </c>
      <c r="J32">
        <v>2726932</v>
      </c>
      <c r="K32">
        <v>85424449</v>
      </c>
      <c r="N32">
        <f>AVERAGEIFS($G$2:$G$101,$A$2:$A$101,A32,$B$2:$B$101,B32)</f>
        <v>4503</v>
      </c>
      <c r="P32" s="5" t="s">
        <v>167</v>
      </c>
      <c r="Q32" s="5"/>
      <c r="R32" s="5" t="s">
        <v>168</v>
      </c>
      <c r="S32" s="5" t="s">
        <v>169</v>
      </c>
      <c r="T32" s="5" t="s">
        <v>171</v>
      </c>
      <c r="U32" s="5" t="s">
        <v>170</v>
      </c>
      <c r="V32" s="5" t="s">
        <v>172</v>
      </c>
    </row>
    <row r="33" spans="1:22">
      <c r="A33" t="s">
        <v>49</v>
      </c>
      <c r="B33" t="s">
        <v>94</v>
      </c>
      <c r="C33" s="1">
        <v>45392</v>
      </c>
      <c r="D33" s="2" t="s">
        <v>166</v>
      </c>
      <c r="E33" t="s">
        <v>35</v>
      </c>
      <c r="F33" t="s">
        <v>105</v>
      </c>
      <c r="G33">
        <v>632</v>
      </c>
      <c r="H33">
        <v>35304</v>
      </c>
      <c r="I33">
        <v>10379376</v>
      </c>
      <c r="J33">
        <v>1590737</v>
      </c>
      <c r="K33">
        <v>34282241</v>
      </c>
      <c r="P33" t="str" cm="1">
        <f t="array" ref="P33:P44">_xlfn.UNIQUE(A:A)</f>
        <v>Festival_Name</v>
      </c>
      <c r="R33" t="str" cm="1">
        <f t="array" ref="R33:R44">_xlfn.UNIQUE(B:B)</f>
        <v>City</v>
      </c>
      <c r="S33" s="1" t="str" cm="1">
        <f t="array" ref="S33:S117">_xlfn.UNIQUE(C:C)</f>
        <v>Date</v>
      </c>
      <c r="T33" t="str" cm="1">
        <f t="array" ref="T33:T39">_xlfn.UNIQUE(D:D)</f>
        <v>Tour_Name</v>
      </c>
      <c r="U33" t="str" cm="1">
        <f t="array" ref="U33:U44">_xlfn.UNIQUE(E:E)</f>
        <v>Headlining_Artist</v>
      </c>
      <c r="V33" t="str" cm="1">
        <f t="array" ref="V33:V126">_xlfn.UNIQUE(F:F)</f>
        <v>Supporting_Artists</v>
      </c>
    </row>
    <row r="34" spans="1:22">
      <c r="A34" t="s">
        <v>96</v>
      </c>
      <c r="B34" t="s">
        <v>50</v>
      </c>
      <c r="C34" s="1">
        <v>45360</v>
      </c>
      <c r="D34" s="2" t="s">
        <v>166</v>
      </c>
      <c r="E34" t="s">
        <v>13</v>
      </c>
      <c r="F34" t="s">
        <v>106</v>
      </c>
      <c r="G34">
        <v>1932</v>
      </c>
      <c r="H34">
        <v>16841</v>
      </c>
      <c r="I34">
        <v>7713178</v>
      </c>
      <c r="J34">
        <v>4738764</v>
      </c>
      <c r="K34">
        <v>44988754</v>
      </c>
      <c r="P34" t="str">
        <v>NH7 Pune</v>
      </c>
      <c r="R34" t="str">
        <v>Kolkata</v>
      </c>
      <c r="S34" s="1">
        <v>45303</v>
      </c>
      <c r="T34" t="str">
        <v>Not Specified</v>
      </c>
      <c r="U34" t="str">
        <v>Badshah</v>
      </c>
      <c r="V34" t="str">
        <v>DJ Snake, Honey Singh</v>
      </c>
    </row>
    <row r="35" spans="1:22">
      <c r="A35" t="s">
        <v>53</v>
      </c>
      <c r="B35" t="s">
        <v>60</v>
      </c>
      <c r="C35" s="1">
        <v>45358</v>
      </c>
      <c r="D35" t="s">
        <v>57</v>
      </c>
      <c r="E35" t="s">
        <v>25</v>
      </c>
      <c r="F35" t="s">
        <v>107</v>
      </c>
      <c r="G35">
        <v>1598.8</v>
      </c>
      <c r="H35">
        <v>18210.5</v>
      </c>
      <c r="I35">
        <v>7336230</v>
      </c>
      <c r="J35">
        <v>2229062</v>
      </c>
      <c r="K35">
        <v>39274422</v>
      </c>
      <c r="P35" t="str">
        <v>Ziro Festival Arunachal</v>
      </c>
      <c r="R35" t="str">
        <v>Delhi</v>
      </c>
      <c r="S35" s="1">
        <v>45403</v>
      </c>
      <c r="T35" t="str">
        <v>Classics Tour</v>
      </c>
      <c r="U35" t="str">
        <v>Honey Singh</v>
      </c>
      <c r="V35" t="str">
        <v>Bryan Adams, Martin Garrix, Mika Singh</v>
      </c>
    </row>
    <row r="36" spans="1:22">
      <c r="A36" t="s">
        <v>49</v>
      </c>
      <c r="B36" t="s">
        <v>54</v>
      </c>
      <c r="C36" s="1">
        <v>45326</v>
      </c>
      <c r="D36" t="s">
        <v>79</v>
      </c>
      <c r="E36" t="s">
        <v>9</v>
      </c>
      <c r="F36" t="s">
        <v>108</v>
      </c>
      <c r="G36">
        <v>1933</v>
      </c>
      <c r="H36">
        <v>58687.199999999997</v>
      </c>
      <c r="I36">
        <v>16296984</v>
      </c>
      <c r="J36">
        <v>1120895</v>
      </c>
      <c r="K36">
        <v>104681231</v>
      </c>
      <c r="P36" t="str">
        <v>VH1 Supersonic Delhi</v>
      </c>
      <c r="R36" t="str">
        <v>Bengaluru</v>
      </c>
      <c r="S36" s="1">
        <v>45553</v>
      </c>
      <c r="T36" t="str">
        <v>Soulful Nights Tour</v>
      </c>
      <c r="U36" t="str">
        <v>Bryan Adams</v>
      </c>
      <c r="V36" t="str">
        <v>Badshah, Arijit Singh, Martin Garrix, Diljit Dosanjh</v>
      </c>
    </row>
    <row r="37" spans="1:22">
      <c r="A37" t="s">
        <v>72</v>
      </c>
      <c r="B37" t="s">
        <v>56</v>
      </c>
      <c r="C37" s="1">
        <v>45395</v>
      </c>
      <c r="D37" t="s">
        <v>79</v>
      </c>
      <c r="E37" t="s">
        <v>9</v>
      </c>
      <c r="F37" t="s">
        <v>109</v>
      </c>
      <c r="G37">
        <v>1824</v>
      </c>
      <c r="H37">
        <v>7559.5</v>
      </c>
      <c r="I37">
        <v>1913135</v>
      </c>
      <c r="J37">
        <v>4680189</v>
      </c>
      <c r="K37">
        <v>21654174</v>
      </c>
      <c r="N37">
        <f>AVERAGEIFS($G$2:$G$101,$A$2:$A$101,A37,$B$2:$B$101,B37)</f>
        <v>1824</v>
      </c>
      <c r="P37" t="str">
        <v>Hornbill Festival Nagaland</v>
      </c>
      <c r="R37" t="str">
        <v>Goa</v>
      </c>
      <c r="S37" s="1">
        <v>45353</v>
      </c>
      <c r="T37" t="str">
        <v>Born To Shine Tour</v>
      </c>
      <c r="U37" t="str">
        <v>Arijit Singh</v>
      </c>
      <c r="V37" t="str">
        <v>Martin Garrix, Badshah, Ed Sheeran, Diljit Dosanjh</v>
      </c>
    </row>
    <row r="38" spans="1:22">
      <c r="A38" t="s">
        <v>59</v>
      </c>
      <c r="B38" t="s">
        <v>56</v>
      </c>
      <c r="C38" s="1">
        <v>45509</v>
      </c>
      <c r="D38" s="2" t="s">
        <v>166</v>
      </c>
      <c r="E38" t="s">
        <v>31</v>
      </c>
      <c r="F38" t="s">
        <v>110</v>
      </c>
      <c r="G38">
        <v>4452</v>
      </c>
      <c r="H38">
        <v>31745</v>
      </c>
      <c r="I38">
        <v>4412555</v>
      </c>
      <c r="J38">
        <v>4091720</v>
      </c>
      <c r="K38">
        <v>149833015</v>
      </c>
      <c r="P38" t="str">
        <v>Bollywood Music Project</v>
      </c>
      <c r="R38" t="str">
        <v>Nagpur</v>
      </c>
      <c r="S38" s="1">
        <v>45454</v>
      </c>
      <c r="T38" t="str">
        <v>Mathematics Tour</v>
      </c>
      <c r="U38" t="str">
        <v>Mika Singh</v>
      </c>
      <c r="V38" t="str">
        <v>Martin Garrix, Badshah</v>
      </c>
    </row>
    <row r="39" spans="1:22">
      <c r="A39" t="s">
        <v>70</v>
      </c>
      <c r="B39" t="s">
        <v>82</v>
      </c>
      <c r="C39" s="1">
        <v>45555</v>
      </c>
      <c r="D39" s="2" t="s">
        <v>166</v>
      </c>
      <c r="E39" t="s">
        <v>17</v>
      </c>
      <c r="F39" t="s">
        <v>111</v>
      </c>
      <c r="G39">
        <v>2716</v>
      </c>
      <c r="H39">
        <v>12688</v>
      </c>
      <c r="I39">
        <v>2486848</v>
      </c>
      <c r="J39">
        <v>1413822</v>
      </c>
      <c r="K39">
        <v>38361278</v>
      </c>
      <c r="P39" t="str">
        <v>Lollapalooza Mumbai</v>
      </c>
      <c r="R39" t="str">
        <v>Jaipur</v>
      </c>
      <c r="S39" s="1">
        <v>45437</v>
      </c>
      <c r="T39">
        <v>0</v>
      </c>
      <c r="U39" t="str">
        <v>Shreya Ghoshal</v>
      </c>
      <c r="V39" t="str">
        <v>Diljit Dosanjh, Mika Singh</v>
      </c>
    </row>
    <row r="40" spans="1:22">
      <c r="A40" t="s">
        <v>75</v>
      </c>
      <c r="B40" t="s">
        <v>94</v>
      </c>
      <c r="C40" s="1">
        <v>45507</v>
      </c>
      <c r="D40" s="2" t="s">
        <v>166</v>
      </c>
      <c r="E40" t="s">
        <v>17</v>
      </c>
      <c r="F40" t="s">
        <v>112</v>
      </c>
      <c r="G40">
        <v>2237</v>
      </c>
      <c r="H40">
        <v>20276</v>
      </c>
      <c r="I40">
        <v>9671652</v>
      </c>
      <c r="J40">
        <v>4912334</v>
      </c>
      <c r="K40">
        <v>59941398</v>
      </c>
      <c r="P40" t="str">
        <v>Sunburn Goa</v>
      </c>
      <c r="R40" t="str">
        <v>Pune</v>
      </c>
      <c r="S40" s="1">
        <v>45371</v>
      </c>
      <c r="U40" t="str">
        <v>DJ Snake</v>
      </c>
      <c r="V40" t="str">
        <v>Ed Sheeran, Mika Singh, Shreya Ghoshal, Bryan Adams</v>
      </c>
    </row>
    <row r="41" spans="1:22">
      <c r="A41" t="s">
        <v>70</v>
      </c>
      <c r="B41" t="s">
        <v>63</v>
      </c>
      <c r="C41" s="1">
        <v>45468</v>
      </c>
      <c r="D41" s="2" t="s">
        <v>166</v>
      </c>
      <c r="E41" t="s">
        <v>33</v>
      </c>
      <c r="F41" t="s">
        <v>110</v>
      </c>
      <c r="G41">
        <v>1412</v>
      </c>
      <c r="H41">
        <v>21248.01</v>
      </c>
      <c r="I41">
        <v>12753000</v>
      </c>
      <c r="J41">
        <v>663225</v>
      </c>
      <c r="K41">
        <v>61435521</v>
      </c>
      <c r="O41">
        <f>AVERAGEIFS($H$2:$H$101,$A$2:$A$101,A41,$B$2:$B$101,B41)</f>
        <v>21248.01</v>
      </c>
      <c r="P41" t="str">
        <v>Supersonic Bengaluru</v>
      </c>
      <c r="R41" t="str">
        <v>Mumbai</v>
      </c>
      <c r="S41" s="1">
        <v>45462</v>
      </c>
      <c r="U41" t="str">
        <v>Diljit Dosanjh</v>
      </c>
      <c r="V41" t="str">
        <v>Honey Singh, Badshah, Bryan Adams, Martin Garrix</v>
      </c>
    </row>
    <row r="42" spans="1:22">
      <c r="A42" t="s">
        <v>70</v>
      </c>
      <c r="B42" t="s">
        <v>60</v>
      </c>
      <c r="C42" s="1">
        <v>45654</v>
      </c>
      <c r="D42" t="s">
        <v>79</v>
      </c>
      <c r="E42" t="s">
        <v>9</v>
      </c>
      <c r="F42" t="s">
        <v>113</v>
      </c>
      <c r="G42">
        <v>836</v>
      </c>
      <c r="H42">
        <v>56160</v>
      </c>
      <c r="I42">
        <v>14904000</v>
      </c>
      <c r="J42">
        <v>4753926</v>
      </c>
      <c r="K42">
        <v>55773126</v>
      </c>
      <c r="P42" t="str">
        <v>Magnetic Fields Rajasthan</v>
      </c>
      <c r="R42" t="str">
        <v>Amritsar</v>
      </c>
      <c r="S42" s="1">
        <v>45440</v>
      </c>
      <c r="U42" t="str">
        <v>Martin Garrix</v>
      </c>
      <c r="V42" t="str">
        <v>Ed Sheeran, Shreya Ghoshal, Bryan Adams, Badshah</v>
      </c>
    </row>
    <row r="43" spans="1:22">
      <c r="A43" t="s">
        <v>70</v>
      </c>
      <c r="B43" t="s">
        <v>94</v>
      </c>
      <c r="C43" s="1">
        <v>45527</v>
      </c>
      <c r="D43" t="s">
        <v>79</v>
      </c>
      <c r="E43" t="s">
        <v>9</v>
      </c>
      <c r="F43" t="s">
        <v>114</v>
      </c>
      <c r="G43">
        <v>625</v>
      </c>
      <c r="H43">
        <v>34043.1</v>
      </c>
      <c r="I43">
        <v>11705589</v>
      </c>
      <c r="J43">
        <v>2483828</v>
      </c>
      <c r="K43">
        <v>30556292</v>
      </c>
      <c r="P43" t="str">
        <v>Goa Tribal Festival</v>
      </c>
      <c r="R43" t="str">
        <v>Chandigarh</v>
      </c>
      <c r="S43" s="1">
        <v>45319</v>
      </c>
      <c r="U43" t="str">
        <v>Ed Sheeran</v>
      </c>
      <c r="V43" t="str">
        <v>Honey Singh, Diljit Dosanjh</v>
      </c>
    </row>
    <row r="44" spans="1:22">
      <c r="A44" t="s">
        <v>72</v>
      </c>
      <c r="B44" t="s">
        <v>50</v>
      </c>
      <c r="C44" s="1">
        <v>45555</v>
      </c>
      <c r="D44" s="2" t="s">
        <v>166</v>
      </c>
      <c r="E44" t="s">
        <v>33</v>
      </c>
      <c r="F44" t="s">
        <v>115</v>
      </c>
      <c r="G44">
        <v>4629</v>
      </c>
      <c r="H44">
        <v>34318</v>
      </c>
      <c r="I44">
        <v>5113382</v>
      </c>
      <c r="J44">
        <v>3030898</v>
      </c>
      <c r="K44">
        <v>167002302</v>
      </c>
      <c r="P44">
        <v>0</v>
      </c>
      <c r="R44">
        <v>0</v>
      </c>
      <c r="S44" s="1">
        <v>45649</v>
      </c>
      <c r="U44">
        <v>0</v>
      </c>
      <c r="V44" t="str">
        <v>Honey Singh, Diljit Dosanjh, Arijit Singh</v>
      </c>
    </row>
    <row r="45" spans="1:22">
      <c r="A45" t="s">
        <v>72</v>
      </c>
      <c r="B45" t="s">
        <v>94</v>
      </c>
      <c r="C45" s="1">
        <v>45524</v>
      </c>
      <c r="D45" s="2" t="s">
        <v>166</v>
      </c>
      <c r="E45" t="s">
        <v>17</v>
      </c>
      <c r="F45" t="s">
        <v>116</v>
      </c>
      <c r="G45">
        <v>3412</v>
      </c>
      <c r="H45">
        <v>22029</v>
      </c>
      <c r="I45">
        <v>7401744</v>
      </c>
      <c r="J45">
        <v>4420985</v>
      </c>
      <c r="K45">
        <v>86985677</v>
      </c>
      <c r="S45" s="1">
        <v>45428</v>
      </c>
      <c r="V45" t="str">
        <v>Honey Singh, Badshah, Bryan Adams</v>
      </c>
    </row>
    <row r="46" spans="1:22">
      <c r="A46" t="s">
        <v>62</v>
      </c>
      <c r="B46" t="s">
        <v>66</v>
      </c>
      <c r="C46" s="1">
        <v>45606</v>
      </c>
      <c r="D46" t="s">
        <v>79</v>
      </c>
      <c r="E46" t="s">
        <v>9</v>
      </c>
      <c r="F46" t="s">
        <v>117</v>
      </c>
      <c r="G46">
        <v>2105</v>
      </c>
      <c r="H46">
        <v>52642.2</v>
      </c>
      <c r="I46">
        <v>15468708</v>
      </c>
      <c r="J46">
        <v>4334451</v>
      </c>
      <c r="K46">
        <v>105043029</v>
      </c>
      <c r="S46" s="1">
        <v>45644</v>
      </c>
      <c r="V46" t="str">
        <v>Mika Singh, Ed Sheeran, Arijit Singh</v>
      </c>
    </row>
    <row r="47" spans="1:22">
      <c r="A47" t="s">
        <v>53</v>
      </c>
      <c r="B47" t="s">
        <v>82</v>
      </c>
      <c r="C47" s="1">
        <v>45512</v>
      </c>
      <c r="D47" t="s">
        <v>79</v>
      </c>
      <c r="E47" t="s">
        <v>9</v>
      </c>
      <c r="F47" t="s">
        <v>118</v>
      </c>
      <c r="G47">
        <v>737</v>
      </c>
      <c r="H47">
        <v>28345.200000000001</v>
      </c>
      <c r="I47">
        <v>3292404</v>
      </c>
      <c r="J47">
        <v>4566892</v>
      </c>
      <c r="K47">
        <v>23928844</v>
      </c>
      <c r="S47" s="1">
        <v>45344</v>
      </c>
      <c r="V47" t="str">
        <v>Shreya Ghoshal, Ed Sheeran, Arijit Singh</v>
      </c>
    </row>
    <row r="48" spans="1:22">
      <c r="A48" t="s">
        <v>75</v>
      </c>
      <c r="B48" t="s">
        <v>60</v>
      </c>
      <c r="C48" s="1">
        <v>45654</v>
      </c>
      <c r="D48" s="2" t="s">
        <v>166</v>
      </c>
      <c r="E48" t="s">
        <v>17</v>
      </c>
      <c r="F48" t="s">
        <v>119</v>
      </c>
      <c r="G48">
        <v>933</v>
      </c>
      <c r="H48">
        <v>31752</v>
      </c>
      <c r="I48">
        <v>5366088</v>
      </c>
      <c r="J48">
        <v>1334941</v>
      </c>
      <c r="K48">
        <v>36325645</v>
      </c>
      <c r="S48" s="1">
        <v>45581</v>
      </c>
      <c r="V48" t="str">
        <v>Bryan Adams, Badshah, Honey Singh</v>
      </c>
    </row>
    <row r="49" spans="1:22">
      <c r="A49" t="s">
        <v>53</v>
      </c>
      <c r="B49" t="s">
        <v>56</v>
      </c>
      <c r="C49" s="1">
        <v>45467</v>
      </c>
      <c r="D49" t="s">
        <v>64</v>
      </c>
      <c r="E49" t="s">
        <v>20</v>
      </c>
      <c r="F49" t="s">
        <v>120</v>
      </c>
      <c r="G49">
        <v>4503</v>
      </c>
      <c r="H49">
        <v>7651</v>
      </c>
      <c r="I49">
        <v>1361878</v>
      </c>
      <c r="J49">
        <v>2805968</v>
      </c>
      <c r="K49">
        <v>38620299</v>
      </c>
      <c r="S49" s="1">
        <v>45455</v>
      </c>
      <c r="V49" t="str">
        <v>Ed Sheeran, Shreya Ghoshal</v>
      </c>
    </row>
    <row r="50" spans="1:22">
      <c r="A50" t="s">
        <v>77</v>
      </c>
      <c r="B50" t="s">
        <v>94</v>
      </c>
      <c r="C50" s="1">
        <v>45423</v>
      </c>
      <c r="D50" t="s">
        <v>88</v>
      </c>
      <c r="E50" t="s">
        <v>22</v>
      </c>
      <c r="F50" t="s">
        <v>121</v>
      </c>
      <c r="G50">
        <v>2615.1999999999998</v>
      </c>
      <c r="H50">
        <v>6000</v>
      </c>
      <c r="I50">
        <v>2094000</v>
      </c>
      <c r="J50">
        <v>3409793</v>
      </c>
      <c r="K50">
        <v>16711793</v>
      </c>
      <c r="S50" s="1">
        <v>45384</v>
      </c>
      <c r="V50" t="str">
        <v>Martin Garrix, Mika Singh, Bryan Adams</v>
      </c>
    </row>
    <row r="51" spans="1:22">
      <c r="A51" t="s">
        <v>77</v>
      </c>
      <c r="B51" t="s">
        <v>66</v>
      </c>
      <c r="C51" s="1">
        <v>45386</v>
      </c>
      <c r="D51" t="s">
        <v>79</v>
      </c>
      <c r="E51" t="s">
        <v>9</v>
      </c>
      <c r="F51" t="s">
        <v>122</v>
      </c>
      <c r="G51">
        <v>4046</v>
      </c>
      <c r="H51">
        <v>32925.1</v>
      </c>
      <c r="I51">
        <v>4356244</v>
      </c>
      <c r="J51">
        <v>1785594</v>
      </c>
      <c r="K51">
        <v>108614880</v>
      </c>
      <c r="S51" s="1">
        <v>45531</v>
      </c>
      <c r="V51" t="str">
        <v>Honey Singh, Ed Sheeran</v>
      </c>
    </row>
    <row r="52" spans="1:22">
      <c r="A52" t="s">
        <v>59</v>
      </c>
      <c r="B52" t="s">
        <v>63</v>
      </c>
      <c r="C52" s="1">
        <v>45318</v>
      </c>
      <c r="D52" t="s">
        <v>57</v>
      </c>
      <c r="E52" t="s">
        <v>25</v>
      </c>
      <c r="F52" t="s">
        <v>123</v>
      </c>
      <c r="G52">
        <v>4613</v>
      </c>
      <c r="H52">
        <v>9412.2000000000007</v>
      </c>
      <c r="I52">
        <v>5580090</v>
      </c>
      <c r="J52">
        <v>4314798</v>
      </c>
      <c r="K52">
        <v>54199458</v>
      </c>
      <c r="S52" s="1">
        <v>45634</v>
      </c>
      <c r="V52" t="str">
        <v>Honey Singh, Mika Singh, Martin Garrix, Ed Sheeran</v>
      </c>
    </row>
    <row r="53" spans="1:22">
      <c r="A53" t="s">
        <v>59</v>
      </c>
      <c r="B53" t="s">
        <v>60</v>
      </c>
      <c r="C53" s="1">
        <v>45499</v>
      </c>
      <c r="D53" t="s">
        <v>64</v>
      </c>
      <c r="E53" t="s">
        <v>20</v>
      </c>
      <c r="F53" t="s">
        <v>124</v>
      </c>
      <c r="G53">
        <v>3437</v>
      </c>
      <c r="H53">
        <v>17457</v>
      </c>
      <c r="I53">
        <v>4800675</v>
      </c>
      <c r="J53">
        <v>3816903</v>
      </c>
      <c r="K53">
        <v>68617287</v>
      </c>
      <c r="S53" s="1">
        <v>45460</v>
      </c>
      <c r="V53" t="str">
        <v>Ed Sheeran, Mika Singh, Shreya Ghoshal, Honey Singh</v>
      </c>
    </row>
    <row r="54" spans="1:22">
      <c r="A54" t="s">
        <v>77</v>
      </c>
      <c r="B54" t="s">
        <v>66</v>
      </c>
      <c r="C54" s="1">
        <v>45543</v>
      </c>
      <c r="D54" s="2" t="s">
        <v>166</v>
      </c>
      <c r="E54" t="s">
        <v>31</v>
      </c>
      <c r="F54" t="s">
        <v>65</v>
      </c>
      <c r="G54">
        <v>2167</v>
      </c>
      <c r="H54">
        <v>23456</v>
      </c>
      <c r="I54">
        <v>8068864</v>
      </c>
      <c r="J54">
        <v>4892379</v>
      </c>
      <c r="K54">
        <v>63790395</v>
      </c>
      <c r="S54" s="1">
        <v>45425</v>
      </c>
      <c r="V54" t="str">
        <v>Shreya Ghoshal, Diljit Dosanjh, Arijit Singh</v>
      </c>
    </row>
    <row r="55" spans="1:22">
      <c r="A55" t="s">
        <v>59</v>
      </c>
      <c r="B55" t="s">
        <v>60</v>
      </c>
      <c r="C55" s="1">
        <v>45607</v>
      </c>
      <c r="D55" t="s">
        <v>57</v>
      </c>
      <c r="E55" t="s">
        <v>25</v>
      </c>
      <c r="F55" t="s">
        <v>125</v>
      </c>
      <c r="G55">
        <v>2289</v>
      </c>
      <c r="H55">
        <v>12636.4</v>
      </c>
      <c r="I55">
        <v>5054560</v>
      </c>
      <c r="J55">
        <v>11048770</v>
      </c>
      <c r="K55">
        <v>36779334</v>
      </c>
      <c r="S55" s="1">
        <v>45474</v>
      </c>
      <c r="V55" t="str">
        <v>Honey Singh, Diljit Dosanjh, Badshah</v>
      </c>
    </row>
    <row r="56" spans="1:22">
      <c r="A56" t="s">
        <v>53</v>
      </c>
      <c r="B56" t="s">
        <v>63</v>
      </c>
      <c r="C56" s="1">
        <v>45635</v>
      </c>
      <c r="D56" s="2" t="s">
        <v>166</v>
      </c>
      <c r="E56" t="s">
        <v>13</v>
      </c>
      <c r="F56" t="s">
        <v>126</v>
      </c>
      <c r="G56">
        <v>2495</v>
      </c>
      <c r="H56">
        <v>26922</v>
      </c>
      <c r="I56">
        <v>12868716</v>
      </c>
      <c r="J56">
        <v>4865146</v>
      </c>
      <c r="K56">
        <v>339617008</v>
      </c>
      <c r="S56" s="1">
        <v>45299</v>
      </c>
      <c r="V56" t="str">
        <v>Honey Singh, Bryan Adams, DJ Snake</v>
      </c>
    </row>
    <row r="57" spans="1:22">
      <c r="A57" t="s">
        <v>81</v>
      </c>
      <c r="B57" t="s">
        <v>63</v>
      </c>
      <c r="C57" s="1">
        <v>45304</v>
      </c>
      <c r="D57" t="s">
        <v>57</v>
      </c>
      <c r="E57" t="s">
        <v>25</v>
      </c>
      <c r="F57" t="s">
        <v>101</v>
      </c>
      <c r="G57">
        <v>1244.5999999999999</v>
      </c>
      <c r="H57">
        <v>23400.3</v>
      </c>
      <c r="I57">
        <v>10463277</v>
      </c>
      <c r="J57">
        <v>1325646</v>
      </c>
      <c r="K57">
        <v>41507304</v>
      </c>
      <c r="S57" s="1">
        <v>45416</v>
      </c>
      <c r="V57" t="str">
        <v>Ed Sheeran, Diljit Dosanjh, Shreya Ghoshal, Badshah</v>
      </c>
    </row>
    <row r="58" spans="1:22">
      <c r="A58" t="s">
        <v>75</v>
      </c>
      <c r="B58" t="s">
        <v>78</v>
      </c>
      <c r="C58" s="1">
        <v>45509</v>
      </c>
      <c r="D58" s="2" t="s">
        <v>166</v>
      </c>
      <c r="E58" t="s">
        <v>35</v>
      </c>
      <c r="F58" t="s">
        <v>127</v>
      </c>
      <c r="G58">
        <v>4120</v>
      </c>
      <c r="H58">
        <v>11366.6</v>
      </c>
      <c r="I58">
        <v>4873518</v>
      </c>
      <c r="J58">
        <v>2422363</v>
      </c>
      <c r="K58">
        <v>93103121</v>
      </c>
      <c r="O58">
        <f>AVERAGEIFS($H$2:$H$101,$A$2:$A$101,A58,$B$2:$B$101,B58)</f>
        <v>11366.6</v>
      </c>
      <c r="S58" s="1">
        <v>45407</v>
      </c>
      <c r="V58" t="str">
        <v>Mika Singh, Diljit Dosanjh, Martin Garrix</v>
      </c>
    </row>
    <row r="59" spans="1:22">
      <c r="A59" t="s">
        <v>81</v>
      </c>
      <c r="B59" t="s">
        <v>60</v>
      </c>
      <c r="C59" s="1">
        <v>45448</v>
      </c>
      <c r="D59" s="2" t="s">
        <v>166</v>
      </c>
      <c r="E59" t="s">
        <v>35</v>
      </c>
      <c r="F59" t="s">
        <v>128</v>
      </c>
      <c r="G59">
        <v>2930.05</v>
      </c>
      <c r="H59">
        <v>21249.01</v>
      </c>
      <c r="I59">
        <v>4728492</v>
      </c>
      <c r="J59">
        <v>3476973</v>
      </c>
      <c r="K59">
        <v>15717666</v>
      </c>
      <c r="N59">
        <f>AVERAGEIFS($G$2:$G$101,$A$2:$A$101,A59,$B$2:$B$101,B59)</f>
        <v>2930.05</v>
      </c>
      <c r="O59">
        <f>AVERAGEIFS($H$2:$H$101,$A$2:$A$101,A59,$B$2:$B$101,B59)</f>
        <v>21249.01</v>
      </c>
      <c r="S59" s="1">
        <v>45316</v>
      </c>
      <c r="V59" t="str">
        <v>Bryan Adams, Diljit Dosanjh, Honey Singh, Mika Singh</v>
      </c>
    </row>
    <row r="60" spans="1:22">
      <c r="A60" t="s">
        <v>96</v>
      </c>
      <c r="B60" t="s">
        <v>84</v>
      </c>
      <c r="C60" s="1">
        <v>45326</v>
      </c>
      <c r="D60" t="s">
        <v>57</v>
      </c>
      <c r="E60" t="s">
        <v>25</v>
      </c>
      <c r="F60" t="s">
        <v>129</v>
      </c>
      <c r="G60">
        <v>4459</v>
      </c>
      <c r="H60">
        <v>19021.099999999999</v>
      </c>
      <c r="I60">
        <v>9592069</v>
      </c>
      <c r="J60">
        <v>3713395</v>
      </c>
      <c r="K60">
        <v>99851469</v>
      </c>
      <c r="S60" s="1">
        <v>45539</v>
      </c>
      <c r="V60" t="str">
        <v>Martin Garrix, Bryan Adams, DJ Snake</v>
      </c>
    </row>
    <row r="61" spans="1:22">
      <c r="A61" t="s">
        <v>53</v>
      </c>
      <c r="B61" t="s">
        <v>66</v>
      </c>
      <c r="C61" s="1">
        <v>45431</v>
      </c>
      <c r="D61" s="2" t="s">
        <v>166</v>
      </c>
      <c r="E61" t="s">
        <v>35</v>
      </c>
      <c r="F61" t="s">
        <v>89</v>
      </c>
      <c r="G61">
        <v>3984</v>
      </c>
      <c r="H61">
        <v>31020</v>
      </c>
      <c r="I61">
        <v>10701900</v>
      </c>
      <c r="J61">
        <v>854727</v>
      </c>
      <c r="K61">
        <v>122856387</v>
      </c>
      <c r="N61">
        <f>AVERAGEIFS($G$2:$G$101,$A$2:$A$101,A61,$B$2:$B$101,B61)</f>
        <v>3984</v>
      </c>
      <c r="S61" s="1">
        <v>45639</v>
      </c>
      <c r="V61" t="str">
        <v>Arijit Singh, Diljit Dosanjh</v>
      </c>
    </row>
    <row r="62" spans="1:22">
      <c r="A62" t="s">
        <v>70</v>
      </c>
      <c r="B62" t="s">
        <v>66</v>
      </c>
      <c r="C62" s="1">
        <v>45583</v>
      </c>
      <c r="D62" s="2" t="s">
        <v>166</v>
      </c>
      <c r="E62" t="s">
        <v>17</v>
      </c>
      <c r="F62" t="s">
        <v>130</v>
      </c>
      <c r="G62">
        <v>3586</v>
      </c>
      <c r="H62">
        <v>5456</v>
      </c>
      <c r="I62">
        <v>1085744</v>
      </c>
      <c r="J62">
        <v>3936852</v>
      </c>
      <c r="K62">
        <v>19235476</v>
      </c>
      <c r="N62">
        <f>AVERAGEIFS($G$2:$G$101,$A$2:$A$101,A62,$B$2:$B$101,B62)</f>
        <v>3586</v>
      </c>
      <c r="S62" s="1">
        <v>45647</v>
      </c>
      <c r="V62" t="str">
        <v>Diljit Dosanjh, Honey Singh, DJ Snake, Shreya Ghoshal</v>
      </c>
    </row>
    <row r="63" spans="1:22">
      <c r="A63" t="s">
        <v>62</v>
      </c>
      <c r="B63" t="s">
        <v>66</v>
      </c>
      <c r="C63" s="1">
        <v>45484</v>
      </c>
      <c r="D63" t="s">
        <v>64</v>
      </c>
      <c r="E63" t="s">
        <v>20</v>
      </c>
      <c r="F63" t="s">
        <v>131</v>
      </c>
      <c r="G63">
        <v>4134</v>
      </c>
      <c r="H63">
        <v>37167.599999999999</v>
      </c>
      <c r="I63">
        <v>15825404</v>
      </c>
      <c r="J63">
        <v>3103482</v>
      </c>
      <c r="K63">
        <v>184975130</v>
      </c>
      <c r="O63">
        <f>AVERAGEIFS($H$2:$H$101,$A$2:$A$101,A63,$B$2:$B$101,B63)</f>
        <v>37167.599999999999</v>
      </c>
      <c r="S63" s="1">
        <v>45410</v>
      </c>
      <c r="V63" t="str">
        <v>Bryan Adams, Mika Singh, Arijit Singh</v>
      </c>
    </row>
    <row r="64" spans="1:22">
      <c r="A64" t="s">
        <v>70</v>
      </c>
      <c r="B64" t="s">
        <v>60</v>
      </c>
      <c r="C64" s="1">
        <v>45486</v>
      </c>
      <c r="D64" s="2" t="s">
        <v>166</v>
      </c>
      <c r="E64" t="s">
        <v>28</v>
      </c>
      <c r="F64" t="s">
        <v>132</v>
      </c>
      <c r="G64">
        <v>5391.4</v>
      </c>
      <c r="H64">
        <v>11355</v>
      </c>
      <c r="I64">
        <v>2305065</v>
      </c>
      <c r="J64">
        <v>1958821</v>
      </c>
      <c r="K64">
        <v>191967964</v>
      </c>
      <c r="S64" s="1">
        <v>45392</v>
      </c>
      <c r="V64" t="str">
        <v>Arijit Singh, Honey Singh</v>
      </c>
    </row>
    <row r="65" spans="1:22">
      <c r="A65" t="s">
        <v>75</v>
      </c>
      <c r="B65" t="s">
        <v>54</v>
      </c>
      <c r="C65" s="1">
        <v>45457</v>
      </c>
      <c r="D65" t="s">
        <v>64</v>
      </c>
      <c r="E65" t="s">
        <v>20</v>
      </c>
      <c r="F65" t="s">
        <v>133</v>
      </c>
      <c r="G65">
        <v>4045</v>
      </c>
      <c r="H65">
        <v>27719</v>
      </c>
      <c r="I65">
        <v>3236079</v>
      </c>
      <c r="J65">
        <v>3039149</v>
      </c>
      <c r="K65">
        <v>24290802</v>
      </c>
      <c r="N65">
        <f>AVERAGEIFS($G$2:$G$101,$A$2:$A$101,A65,$B$2:$B$101,B65)</f>
        <v>4045</v>
      </c>
      <c r="O65">
        <f>AVERAGEIFS($H$2:$H$101,$A$2:$A$101,A65,$B$2:$B$101,B65)</f>
        <v>27719</v>
      </c>
      <c r="S65" s="1">
        <v>45360</v>
      </c>
      <c r="V65" t="str">
        <v>Martin Garrix, Diljit Dosanjh, Badshah, Mika Singh</v>
      </c>
    </row>
    <row r="66" spans="1:22">
      <c r="A66" t="s">
        <v>96</v>
      </c>
      <c r="B66" t="s">
        <v>63</v>
      </c>
      <c r="C66" s="1">
        <v>45292</v>
      </c>
      <c r="D66" s="2" t="s">
        <v>166</v>
      </c>
      <c r="E66" t="s">
        <v>13</v>
      </c>
      <c r="F66" t="s">
        <v>134</v>
      </c>
      <c r="G66">
        <v>3769</v>
      </c>
      <c r="H66">
        <v>35877</v>
      </c>
      <c r="I66">
        <v>5489181</v>
      </c>
      <c r="J66">
        <v>8648395</v>
      </c>
      <c r="K66">
        <v>142439273</v>
      </c>
      <c r="S66" s="1">
        <v>45358</v>
      </c>
      <c r="V66" t="str">
        <v>DJ Snake, Arijit Singh, Badshah, Mika Singh</v>
      </c>
    </row>
    <row r="67" spans="1:22">
      <c r="A67" t="s">
        <v>81</v>
      </c>
      <c r="B67" t="s">
        <v>50</v>
      </c>
      <c r="C67" s="1">
        <v>45370</v>
      </c>
      <c r="D67" s="2" t="s">
        <v>166</v>
      </c>
      <c r="E67" t="s">
        <v>33</v>
      </c>
      <c r="F67" t="s">
        <v>135</v>
      </c>
      <c r="G67">
        <v>2589</v>
      </c>
      <c r="H67">
        <v>8270</v>
      </c>
      <c r="I67">
        <v>1563030</v>
      </c>
      <c r="J67">
        <v>3564057</v>
      </c>
      <c r="K67">
        <v>106152468</v>
      </c>
      <c r="S67" s="1">
        <v>45326</v>
      </c>
      <c r="V67" t="str">
        <v>Mika Singh, Diljit Dosanjh, Shreya Ghoshal</v>
      </c>
    </row>
    <row r="68" spans="1:22">
      <c r="A68" t="s">
        <v>75</v>
      </c>
      <c r="B68" t="s">
        <v>63</v>
      </c>
      <c r="C68" s="1">
        <v>45616</v>
      </c>
      <c r="D68" t="s">
        <v>88</v>
      </c>
      <c r="E68" t="s">
        <v>22</v>
      </c>
      <c r="F68" t="s">
        <v>136</v>
      </c>
      <c r="G68">
        <v>1867.6</v>
      </c>
      <c r="H68">
        <v>46028</v>
      </c>
      <c r="I68">
        <v>20068208</v>
      </c>
      <c r="J68">
        <v>2266980</v>
      </c>
      <c r="K68">
        <v>83736540</v>
      </c>
      <c r="S68" s="1">
        <v>45395</v>
      </c>
      <c r="V68" t="str">
        <v>Mika Singh, Ed Sheeran, Honey Singh, Diljit Dosanjh</v>
      </c>
    </row>
    <row r="69" spans="1:22">
      <c r="A69" t="s">
        <v>70</v>
      </c>
      <c r="B69" t="s">
        <v>60</v>
      </c>
      <c r="C69" s="1">
        <v>45420</v>
      </c>
      <c r="D69" s="2" t="s">
        <v>166</v>
      </c>
      <c r="E69" t="s">
        <v>13</v>
      </c>
      <c r="F69" t="s">
        <v>137</v>
      </c>
      <c r="G69">
        <v>4078</v>
      </c>
      <c r="H69">
        <v>9560</v>
      </c>
      <c r="I69">
        <v>3795320</v>
      </c>
      <c r="J69">
        <v>2303574</v>
      </c>
      <c r="K69">
        <v>45084574</v>
      </c>
      <c r="S69" s="1">
        <v>45509</v>
      </c>
      <c r="V69" t="str">
        <v>Diljit Dosanjh, DJ Snake, Honey Singh, Shreya Ghoshal</v>
      </c>
    </row>
    <row r="70" spans="1:22">
      <c r="A70" t="s">
        <v>96</v>
      </c>
      <c r="B70" t="s">
        <v>60</v>
      </c>
      <c r="C70" s="1">
        <v>45368</v>
      </c>
      <c r="D70" t="s">
        <v>64</v>
      </c>
      <c r="E70" t="s">
        <v>20</v>
      </c>
      <c r="F70" t="s">
        <v>138</v>
      </c>
      <c r="G70">
        <v>1381</v>
      </c>
      <c r="H70">
        <v>13578</v>
      </c>
      <c r="I70">
        <v>5336154</v>
      </c>
      <c r="J70">
        <v>1442642</v>
      </c>
      <c r="K70">
        <v>25530014</v>
      </c>
      <c r="S70" s="1">
        <v>45555</v>
      </c>
      <c r="V70" t="str">
        <v>DJ Snake, Honey Singh, Diljit Dosanjh</v>
      </c>
    </row>
    <row r="71" spans="1:22">
      <c r="A71" t="s">
        <v>49</v>
      </c>
      <c r="B71" t="s">
        <v>78</v>
      </c>
      <c r="C71" s="1">
        <v>45525</v>
      </c>
      <c r="D71" s="2" t="s">
        <v>166</v>
      </c>
      <c r="E71" t="s">
        <v>28</v>
      </c>
      <c r="F71" t="s">
        <v>139</v>
      </c>
      <c r="G71">
        <v>6914.6</v>
      </c>
      <c r="H71">
        <v>40916</v>
      </c>
      <c r="I71">
        <v>19926092</v>
      </c>
      <c r="J71">
        <v>3643451</v>
      </c>
      <c r="K71">
        <v>225653667</v>
      </c>
      <c r="S71" s="1">
        <v>45507</v>
      </c>
      <c r="V71" t="str">
        <v>Arijit Singh, DJ Snake, Martin Garrix</v>
      </c>
    </row>
    <row r="72" spans="1:22">
      <c r="A72" t="s">
        <v>59</v>
      </c>
      <c r="B72" t="s">
        <v>94</v>
      </c>
      <c r="C72" s="1">
        <v>45506</v>
      </c>
      <c r="D72" s="2" t="s">
        <v>166</v>
      </c>
      <c r="E72" t="s">
        <v>13</v>
      </c>
      <c r="F72" t="s">
        <v>140</v>
      </c>
      <c r="G72">
        <v>2817</v>
      </c>
      <c r="H72">
        <v>13994</v>
      </c>
      <c r="I72">
        <v>6689132</v>
      </c>
      <c r="J72">
        <v>3519113</v>
      </c>
      <c r="K72">
        <v>49629343</v>
      </c>
      <c r="S72" s="1">
        <v>45468</v>
      </c>
      <c r="V72" t="str">
        <v>DJ Snake, Badshah</v>
      </c>
    </row>
    <row r="73" spans="1:22">
      <c r="A73" t="s">
        <v>96</v>
      </c>
      <c r="B73" t="s">
        <v>56</v>
      </c>
      <c r="C73" s="1">
        <v>45317</v>
      </c>
      <c r="D73" s="2" t="s">
        <v>166</v>
      </c>
      <c r="E73" t="s">
        <v>33</v>
      </c>
      <c r="F73" t="s">
        <v>141</v>
      </c>
      <c r="G73">
        <v>2937</v>
      </c>
      <c r="H73">
        <v>14499</v>
      </c>
      <c r="I73">
        <v>7177005</v>
      </c>
      <c r="J73">
        <v>1341541</v>
      </c>
      <c r="K73">
        <v>51102109</v>
      </c>
      <c r="S73" s="1">
        <v>45654</v>
      </c>
      <c r="V73" t="str">
        <v>Diljit Dosanjh, Shreya Ghoshal, Ed Sheeran</v>
      </c>
    </row>
    <row r="74" spans="1:22">
      <c r="A74" t="s">
        <v>75</v>
      </c>
      <c r="B74" t="s">
        <v>63</v>
      </c>
      <c r="C74" s="1">
        <v>45568</v>
      </c>
      <c r="D74" s="2" t="s">
        <v>166</v>
      </c>
      <c r="E74" t="s">
        <v>28</v>
      </c>
      <c r="F74" t="s">
        <v>142</v>
      </c>
      <c r="G74">
        <v>3235.4</v>
      </c>
      <c r="H74">
        <v>15002</v>
      </c>
      <c r="I74">
        <v>3975530</v>
      </c>
      <c r="J74">
        <v>4947667</v>
      </c>
      <c r="K74">
        <v>43592819</v>
      </c>
      <c r="S74" s="1">
        <v>45527</v>
      </c>
      <c r="V74" t="str">
        <v>Bryan Adams, DJ Snake, Mika Singh, Shreya Ghoshal</v>
      </c>
    </row>
    <row r="75" spans="1:22">
      <c r="A75" t="s">
        <v>49</v>
      </c>
      <c r="B75" t="s">
        <v>60</v>
      </c>
      <c r="C75" s="1">
        <v>45339</v>
      </c>
      <c r="D75" s="2" t="s">
        <v>166</v>
      </c>
      <c r="E75" t="s">
        <v>28</v>
      </c>
      <c r="F75" t="s">
        <v>143</v>
      </c>
      <c r="G75">
        <v>2224.6</v>
      </c>
      <c r="H75">
        <v>23169</v>
      </c>
      <c r="I75">
        <v>5630067</v>
      </c>
      <c r="J75">
        <v>4471729</v>
      </c>
      <c r="K75">
        <v>46917337</v>
      </c>
      <c r="S75" s="1">
        <v>45524</v>
      </c>
      <c r="V75" t="str">
        <v>Mika Singh, Arijit Singh, Ed Sheeran</v>
      </c>
    </row>
    <row r="76" spans="1:22">
      <c r="A76" t="s">
        <v>77</v>
      </c>
      <c r="B76" t="s">
        <v>63</v>
      </c>
      <c r="C76" s="1">
        <v>45616</v>
      </c>
      <c r="D76" s="2" t="s">
        <v>166</v>
      </c>
      <c r="E76" t="s">
        <v>28</v>
      </c>
      <c r="F76" t="s">
        <v>144</v>
      </c>
      <c r="G76">
        <v>2679.6</v>
      </c>
      <c r="H76">
        <v>21248.01</v>
      </c>
      <c r="I76">
        <v>1370391</v>
      </c>
      <c r="J76">
        <v>1953924</v>
      </c>
      <c r="K76">
        <v>23346669</v>
      </c>
      <c r="O76">
        <f>AVERAGEIFS($H$2:$H$101,$A$2:$A$101,A76,$B$2:$B$101,B76)</f>
        <v>21248.01</v>
      </c>
      <c r="S76" s="1">
        <v>45606</v>
      </c>
      <c r="V76" t="str">
        <v>Shreya Ghoshal, Badshah, Arijit Singh, Bryan Adams</v>
      </c>
    </row>
    <row r="77" spans="1:22">
      <c r="A77" t="s">
        <v>81</v>
      </c>
      <c r="B77" t="s">
        <v>78</v>
      </c>
      <c r="C77" s="1">
        <v>45345</v>
      </c>
      <c r="D77" s="2" t="s">
        <v>166</v>
      </c>
      <c r="E77" t="s">
        <v>17</v>
      </c>
      <c r="F77" t="s">
        <v>145</v>
      </c>
      <c r="G77">
        <v>2567</v>
      </c>
      <c r="H77">
        <v>4240</v>
      </c>
      <c r="I77">
        <v>1861360</v>
      </c>
      <c r="J77">
        <v>1698282</v>
      </c>
      <c r="K77">
        <v>14443722</v>
      </c>
      <c r="S77" s="1">
        <v>45512</v>
      </c>
      <c r="V77" t="str">
        <v>Badshah, Arijit Singh, Mika Singh, Bryan Adams</v>
      </c>
    </row>
    <row r="78" spans="1:22">
      <c r="A78" t="s">
        <v>62</v>
      </c>
      <c r="B78" t="s">
        <v>54</v>
      </c>
      <c r="C78" s="1">
        <v>45543</v>
      </c>
      <c r="D78" t="s">
        <v>57</v>
      </c>
      <c r="E78" t="s">
        <v>25</v>
      </c>
      <c r="F78" t="s">
        <v>119</v>
      </c>
      <c r="G78">
        <v>6972</v>
      </c>
      <c r="H78">
        <v>21681.1</v>
      </c>
      <c r="I78">
        <v>13875904</v>
      </c>
      <c r="J78">
        <v>2510128</v>
      </c>
      <c r="K78">
        <v>170631572</v>
      </c>
      <c r="S78" s="1">
        <v>45467</v>
      </c>
      <c r="V78" t="str">
        <v>Badshah, DJ Snake, Honey Singh, Mika Singh</v>
      </c>
    </row>
    <row r="79" spans="1:22">
      <c r="A79" t="s">
        <v>62</v>
      </c>
      <c r="B79" t="s">
        <v>78</v>
      </c>
      <c r="C79" s="1">
        <v>45510</v>
      </c>
      <c r="D79" s="2" t="s">
        <v>166</v>
      </c>
      <c r="E79" t="s">
        <v>13</v>
      </c>
      <c r="F79" t="s">
        <v>146</v>
      </c>
      <c r="G79">
        <v>3668</v>
      </c>
      <c r="H79">
        <v>32900</v>
      </c>
      <c r="I79">
        <v>6777400</v>
      </c>
      <c r="J79">
        <v>3584230</v>
      </c>
      <c r="K79">
        <v>126301230</v>
      </c>
      <c r="N79">
        <f>AVERAGEIFS($G$2:$G$101,$A$2:$A$101,A79,$B$2:$B$101,B79)</f>
        <v>3668</v>
      </c>
      <c r="S79" s="1">
        <v>45423</v>
      </c>
      <c r="V79" t="str">
        <v>Honey Singh, Shreya Ghoshal</v>
      </c>
    </row>
    <row r="80" spans="1:22">
      <c r="A80" t="s">
        <v>75</v>
      </c>
      <c r="B80" t="s">
        <v>78</v>
      </c>
      <c r="C80" s="1">
        <v>45609</v>
      </c>
      <c r="D80" t="s">
        <v>57</v>
      </c>
      <c r="E80" t="s">
        <v>25</v>
      </c>
      <c r="F80" t="s">
        <v>147</v>
      </c>
      <c r="G80">
        <v>4765.6000000000004</v>
      </c>
      <c r="H80">
        <v>11366.6</v>
      </c>
      <c r="I80">
        <v>6933626</v>
      </c>
      <c r="J80">
        <v>2380633</v>
      </c>
      <c r="K80">
        <v>64588411</v>
      </c>
      <c r="S80" s="1">
        <v>45386</v>
      </c>
      <c r="V80" t="str">
        <v>Ed Sheeran, Arijit Singh, Badshah</v>
      </c>
    </row>
    <row r="81" spans="1:22">
      <c r="A81" t="s">
        <v>77</v>
      </c>
      <c r="B81" t="s">
        <v>54</v>
      </c>
      <c r="C81" s="1">
        <v>45414</v>
      </c>
      <c r="D81" s="2" t="s">
        <v>166</v>
      </c>
      <c r="E81" t="s">
        <v>35</v>
      </c>
      <c r="F81" t="s">
        <v>148</v>
      </c>
      <c r="G81">
        <v>3243</v>
      </c>
      <c r="H81">
        <v>5362</v>
      </c>
      <c r="I81">
        <v>739956</v>
      </c>
      <c r="J81">
        <v>4259028</v>
      </c>
      <c r="K81">
        <v>22387950</v>
      </c>
      <c r="S81" s="1">
        <v>45318</v>
      </c>
      <c r="V81" t="str">
        <v>DJ Snake, Mika Singh</v>
      </c>
    </row>
    <row r="82" spans="1:22">
      <c r="A82" t="s">
        <v>77</v>
      </c>
      <c r="B82" t="s">
        <v>94</v>
      </c>
      <c r="C82" s="1">
        <v>45531</v>
      </c>
      <c r="D82" s="2" t="s">
        <v>166</v>
      </c>
      <c r="E82" t="s">
        <v>31</v>
      </c>
      <c r="F82" t="s">
        <v>149</v>
      </c>
      <c r="G82">
        <v>1599</v>
      </c>
      <c r="H82">
        <v>6748</v>
      </c>
      <c r="I82">
        <v>1005452</v>
      </c>
      <c r="J82">
        <v>3330904</v>
      </c>
      <c r="K82">
        <v>15126408</v>
      </c>
      <c r="S82" s="1">
        <v>45499</v>
      </c>
      <c r="V82" t="str">
        <v>Mika Singh, Ed Sheeran</v>
      </c>
    </row>
    <row r="83" spans="1:22">
      <c r="A83" t="s">
        <v>77</v>
      </c>
      <c r="B83" t="s">
        <v>66</v>
      </c>
      <c r="C83" s="1">
        <v>45326</v>
      </c>
      <c r="D83" t="s">
        <v>64</v>
      </c>
      <c r="E83" t="s">
        <v>20</v>
      </c>
      <c r="F83" t="s">
        <v>150</v>
      </c>
      <c r="G83">
        <v>1180</v>
      </c>
      <c r="H83">
        <v>11979</v>
      </c>
      <c r="I83">
        <v>3114540</v>
      </c>
      <c r="J83">
        <v>2375872</v>
      </c>
      <c r="K83">
        <v>19625632</v>
      </c>
      <c r="S83" s="1">
        <v>45543</v>
      </c>
      <c r="V83" t="str">
        <v>Mika Singh, Badshah</v>
      </c>
    </row>
    <row r="84" spans="1:22">
      <c r="A84" t="s">
        <v>72</v>
      </c>
      <c r="B84" t="s">
        <v>50</v>
      </c>
      <c r="C84" s="1">
        <v>45601</v>
      </c>
      <c r="D84" t="s">
        <v>79</v>
      </c>
      <c r="E84" t="s">
        <v>9</v>
      </c>
      <c r="F84" t="s">
        <v>151</v>
      </c>
      <c r="G84">
        <v>3928</v>
      </c>
      <c r="H84">
        <v>45372.6</v>
      </c>
      <c r="I84">
        <v>14623938</v>
      </c>
      <c r="J84">
        <v>962979</v>
      </c>
      <c r="K84">
        <v>152681973</v>
      </c>
      <c r="S84" s="1">
        <v>45607</v>
      </c>
      <c r="V84" t="str">
        <v>Ed Sheeran, DJ Snake, Mika Singh</v>
      </c>
    </row>
    <row r="85" spans="1:22">
      <c r="A85" t="s">
        <v>72</v>
      </c>
      <c r="B85" t="s">
        <v>66</v>
      </c>
      <c r="C85" s="1">
        <v>45401</v>
      </c>
      <c r="D85" s="2" t="s">
        <v>166</v>
      </c>
      <c r="E85" t="s">
        <v>31</v>
      </c>
      <c r="F85" t="s">
        <v>152</v>
      </c>
      <c r="G85">
        <v>929</v>
      </c>
      <c r="H85">
        <v>17678</v>
      </c>
      <c r="I85">
        <v>4118974</v>
      </c>
      <c r="J85">
        <v>3432767</v>
      </c>
      <c r="K85">
        <v>23974603</v>
      </c>
      <c r="S85" s="1">
        <v>45635</v>
      </c>
      <c r="V85" t="str">
        <v>Diljit Dosanjh, Badshah, Bryan Adams</v>
      </c>
    </row>
    <row r="86" spans="1:22">
      <c r="A86" t="s">
        <v>72</v>
      </c>
      <c r="B86" t="s">
        <v>56</v>
      </c>
      <c r="C86" s="1">
        <v>45454</v>
      </c>
      <c r="D86" s="2" t="s">
        <v>166</v>
      </c>
      <c r="E86" t="s">
        <v>33</v>
      </c>
      <c r="F86" t="s">
        <v>153</v>
      </c>
      <c r="G86">
        <v>1824</v>
      </c>
      <c r="H86">
        <v>11076</v>
      </c>
      <c r="I86">
        <v>2193048</v>
      </c>
      <c r="J86">
        <v>4584685</v>
      </c>
      <c r="K86">
        <v>26980357</v>
      </c>
      <c r="S86" s="1">
        <v>45304</v>
      </c>
      <c r="V86" t="str">
        <v>Arijit Singh, Honey Singh, Shreya Ghoshal, Ed Sheeran</v>
      </c>
    </row>
    <row r="87" spans="1:22">
      <c r="A87" t="s">
        <v>53</v>
      </c>
      <c r="B87" t="s">
        <v>82</v>
      </c>
      <c r="C87" s="1">
        <v>45385</v>
      </c>
      <c r="D87" t="s">
        <v>64</v>
      </c>
      <c r="E87" t="s">
        <v>20</v>
      </c>
      <c r="F87" t="s">
        <v>154</v>
      </c>
      <c r="G87">
        <v>3034</v>
      </c>
      <c r="H87">
        <v>9525</v>
      </c>
      <c r="I87">
        <v>1266825</v>
      </c>
      <c r="J87">
        <v>659581</v>
      </c>
      <c r="K87">
        <v>30825256</v>
      </c>
      <c r="S87" s="1">
        <v>45448</v>
      </c>
      <c r="V87" t="str">
        <v>DJ Snake, Shreya Ghoshal, Honey Singh, Diljit Dosanjh</v>
      </c>
    </row>
    <row r="88" spans="1:22">
      <c r="A88" t="s">
        <v>75</v>
      </c>
      <c r="B88" t="s">
        <v>84</v>
      </c>
      <c r="C88" s="1">
        <v>45611</v>
      </c>
      <c r="D88" t="s">
        <v>88</v>
      </c>
      <c r="E88" t="s">
        <v>22</v>
      </c>
      <c r="F88" t="s">
        <v>95</v>
      </c>
      <c r="G88">
        <v>798</v>
      </c>
      <c r="H88">
        <v>21248.01</v>
      </c>
      <c r="I88">
        <v>4874352</v>
      </c>
      <c r="J88">
        <v>1012227</v>
      </c>
      <c r="K88">
        <v>16292499</v>
      </c>
      <c r="O88">
        <f>AVERAGEIFS($H$2:$H$101,$A$2:$A$101,A88,$B$2:$B$101,B88)</f>
        <v>21248.01</v>
      </c>
      <c r="S88" s="1">
        <v>45431</v>
      </c>
      <c r="V88" t="str">
        <v>Martin Garrix, Badshah, Bryan Adams, Arijit Singh</v>
      </c>
    </row>
    <row r="89" spans="1:22">
      <c r="A89" t="s">
        <v>59</v>
      </c>
      <c r="B89" t="s">
        <v>63</v>
      </c>
      <c r="C89" s="1">
        <v>45636</v>
      </c>
      <c r="D89" t="s">
        <v>64</v>
      </c>
      <c r="E89" t="s">
        <v>20</v>
      </c>
      <c r="F89" t="s">
        <v>155</v>
      </c>
      <c r="G89">
        <v>2753</v>
      </c>
      <c r="H89">
        <v>7762</v>
      </c>
      <c r="I89">
        <v>2227694</v>
      </c>
      <c r="J89">
        <v>3105094</v>
      </c>
      <c r="K89">
        <v>26701574</v>
      </c>
      <c r="S89" s="1">
        <v>45583</v>
      </c>
      <c r="V89" t="str">
        <v>Diljit Dosanjh, Ed Sheeran, DJ Snake, Honey Singh</v>
      </c>
    </row>
    <row r="90" spans="1:22">
      <c r="A90" t="s">
        <v>81</v>
      </c>
      <c r="B90" t="s">
        <v>63</v>
      </c>
      <c r="C90" s="1">
        <v>45303</v>
      </c>
      <c r="D90" t="s">
        <v>64</v>
      </c>
      <c r="E90" t="s">
        <v>20</v>
      </c>
      <c r="F90" t="s">
        <v>156</v>
      </c>
      <c r="G90">
        <v>2609</v>
      </c>
      <c r="H90">
        <v>27598</v>
      </c>
      <c r="I90">
        <v>13467824</v>
      </c>
      <c r="J90">
        <v>3310368</v>
      </c>
      <c r="K90">
        <v>88781374</v>
      </c>
      <c r="S90" s="1">
        <v>45484</v>
      </c>
      <c r="V90" t="str">
        <v>DJ Snake, Arijit Singh, Shreya Ghoshal</v>
      </c>
    </row>
    <row r="91" spans="1:22">
      <c r="A91" t="s">
        <v>70</v>
      </c>
      <c r="B91" t="s">
        <v>82</v>
      </c>
      <c r="C91" s="1">
        <v>45324</v>
      </c>
      <c r="D91" t="s">
        <v>64</v>
      </c>
      <c r="E91" t="s">
        <v>20</v>
      </c>
      <c r="F91" t="s">
        <v>157</v>
      </c>
      <c r="G91">
        <v>4418</v>
      </c>
      <c r="H91">
        <v>8702</v>
      </c>
      <c r="I91">
        <v>3280654</v>
      </c>
      <c r="J91">
        <v>615109</v>
      </c>
      <c r="K91">
        <v>42341199</v>
      </c>
      <c r="S91" s="1">
        <v>45486</v>
      </c>
      <c r="V91" t="str">
        <v>Arijit Singh, DJ Snake, Mika Singh</v>
      </c>
    </row>
    <row r="92" spans="1:22">
      <c r="A92" t="s">
        <v>59</v>
      </c>
      <c r="B92" t="s">
        <v>56</v>
      </c>
      <c r="C92" s="1">
        <v>45328</v>
      </c>
      <c r="D92" s="2" t="s">
        <v>166</v>
      </c>
      <c r="E92" t="s">
        <v>35</v>
      </c>
      <c r="F92" t="s">
        <v>158</v>
      </c>
      <c r="G92">
        <v>4849</v>
      </c>
      <c r="H92">
        <v>8214</v>
      </c>
      <c r="I92">
        <v>1667442</v>
      </c>
      <c r="J92">
        <v>4255125</v>
      </c>
      <c r="K92">
        <v>45752253</v>
      </c>
      <c r="S92" s="1">
        <v>45457</v>
      </c>
      <c r="V92" t="str">
        <v>Bryan Adams, Martin Garrix</v>
      </c>
    </row>
    <row r="93" spans="1:22">
      <c r="A93" t="s">
        <v>77</v>
      </c>
      <c r="B93" t="s">
        <v>84</v>
      </c>
      <c r="C93" s="1">
        <v>45639</v>
      </c>
      <c r="D93" t="s">
        <v>57</v>
      </c>
      <c r="E93" t="s">
        <v>25</v>
      </c>
      <c r="F93" t="s">
        <v>121</v>
      </c>
      <c r="G93">
        <v>1750</v>
      </c>
      <c r="H93">
        <v>21248.01</v>
      </c>
      <c r="I93">
        <v>4231825</v>
      </c>
      <c r="J93">
        <v>3268157</v>
      </c>
      <c r="K93">
        <v>21531232</v>
      </c>
      <c r="O93">
        <f>AVERAGEIFS($H$2:$H$101,$A$2:$A$101,A93,$B$2:$B$101,B93)</f>
        <v>21248.01</v>
      </c>
      <c r="S93" s="1">
        <v>45292</v>
      </c>
      <c r="V93" t="str">
        <v>Martin Garrix, DJ Snake, Arijit Singh, Honey Singh</v>
      </c>
    </row>
    <row r="94" spans="1:22">
      <c r="A94" t="s">
        <v>75</v>
      </c>
      <c r="B94" t="s">
        <v>66</v>
      </c>
      <c r="C94" s="1">
        <v>45425</v>
      </c>
      <c r="D94" s="2" t="s">
        <v>166</v>
      </c>
      <c r="E94" t="s">
        <v>28</v>
      </c>
      <c r="F94" t="s">
        <v>159</v>
      </c>
      <c r="G94">
        <v>4279.8</v>
      </c>
      <c r="H94">
        <v>18095</v>
      </c>
      <c r="I94">
        <v>4089470</v>
      </c>
      <c r="J94">
        <v>1719569</v>
      </c>
      <c r="K94">
        <v>61125454</v>
      </c>
      <c r="S94" s="1">
        <v>45370</v>
      </c>
      <c r="V94" t="str">
        <v>DJ Snake, Bryan Adams, Martin Garrix, Badshah</v>
      </c>
    </row>
    <row r="95" spans="1:22">
      <c r="A95" t="s">
        <v>70</v>
      </c>
      <c r="B95" t="s">
        <v>66</v>
      </c>
      <c r="C95" s="1">
        <v>45481</v>
      </c>
      <c r="D95" s="2" t="s">
        <v>166</v>
      </c>
      <c r="E95" t="s">
        <v>17</v>
      </c>
      <c r="F95" t="s">
        <v>160</v>
      </c>
      <c r="G95">
        <v>3586</v>
      </c>
      <c r="H95">
        <v>38295</v>
      </c>
      <c r="I95">
        <v>5476185</v>
      </c>
      <c r="J95">
        <v>887815</v>
      </c>
      <c r="K95">
        <v>143689870</v>
      </c>
      <c r="S95" s="1">
        <v>45616</v>
      </c>
      <c r="V95" t="str">
        <v>Diljit Dosanjh, Arijit Singh, Shreya Ghoshal, Mika Singh</v>
      </c>
    </row>
    <row r="96" spans="1:22">
      <c r="A96" t="s">
        <v>77</v>
      </c>
      <c r="B96" t="s">
        <v>60</v>
      </c>
      <c r="C96" s="1">
        <v>45632</v>
      </c>
      <c r="D96" s="2" t="s">
        <v>166</v>
      </c>
      <c r="E96" t="s">
        <v>17</v>
      </c>
      <c r="F96" t="s">
        <v>161</v>
      </c>
      <c r="G96">
        <v>3782</v>
      </c>
      <c r="H96">
        <v>39893</v>
      </c>
      <c r="I96">
        <v>6263201</v>
      </c>
      <c r="J96">
        <v>6333350</v>
      </c>
      <c r="K96">
        <v>158405197</v>
      </c>
      <c r="S96" s="1">
        <v>45420</v>
      </c>
      <c r="V96" t="str">
        <v>Bryan Adams, Ed Sheeran, Badshah</v>
      </c>
    </row>
    <row r="97" spans="1:22">
      <c r="A97" t="s">
        <v>70</v>
      </c>
      <c r="B97" t="s">
        <v>56</v>
      </c>
      <c r="C97" s="1">
        <v>45507</v>
      </c>
      <c r="D97" t="s">
        <v>88</v>
      </c>
      <c r="E97" t="s">
        <v>22</v>
      </c>
      <c r="F97" t="s">
        <v>162</v>
      </c>
      <c r="G97">
        <v>4834.2</v>
      </c>
      <c r="H97">
        <v>14283</v>
      </c>
      <c r="I97">
        <v>5356125</v>
      </c>
      <c r="J97">
        <v>1549672</v>
      </c>
      <c r="K97">
        <v>56224996</v>
      </c>
      <c r="S97" s="1">
        <v>45368</v>
      </c>
      <c r="V97" t="str">
        <v>Shreya Ghoshal, DJ Snake, Honey Singh, Bryan Adams</v>
      </c>
    </row>
    <row r="98" spans="1:22">
      <c r="A98" t="s">
        <v>70</v>
      </c>
      <c r="B98" t="s">
        <v>50</v>
      </c>
      <c r="C98" s="1">
        <v>45353</v>
      </c>
      <c r="D98" s="2" t="s">
        <v>166</v>
      </c>
      <c r="E98" t="s">
        <v>33</v>
      </c>
      <c r="F98" t="s">
        <v>163</v>
      </c>
      <c r="G98">
        <v>4286</v>
      </c>
      <c r="H98">
        <v>8925</v>
      </c>
      <c r="I98">
        <v>2722125</v>
      </c>
      <c r="J98">
        <v>896661</v>
      </c>
      <c r="K98">
        <v>41871336</v>
      </c>
      <c r="S98" s="1">
        <v>45525</v>
      </c>
      <c r="V98" t="str">
        <v>Ed Sheeran, Honey Singh, Arijit Singh</v>
      </c>
    </row>
    <row r="99" spans="1:22">
      <c r="A99" t="s">
        <v>62</v>
      </c>
      <c r="B99" t="s">
        <v>54</v>
      </c>
      <c r="C99" s="1">
        <v>45427</v>
      </c>
      <c r="D99" t="s">
        <v>64</v>
      </c>
      <c r="E99" t="s">
        <v>20</v>
      </c>
      <c r="F99" t="s">
        <v>164</v>
      </c>
      <c r="G99">
        <v>6972</v>
      </c>
      <c r="H99">
        <v>4885</v>
      </c>
      <c r="I99">
        <v>1734175</v>
      </c>
      <c r="J99">
        <v>4292613</v>
      </c>
      <c r="K99">
        <v>23891233</v>
      </c>
      <c r="N99">
        <f>AVERAGEIFS($G$2:$G$101,$A$2:$A$101,A99,$B$2:$B$101,B99)</f>
        <v>6972</v>
      </c>
      <c r="S99" s="1">
        <v>45506</v>
      </c>
      <c r="V99" t="str">
        <v>Bryan Adams, Honey Singh, Arijit Singh</v>
      </c>
    </row>
    <row r="100" spans="1:22">
      <c r="A100" t="s">
        <v>62</v>
      </c>
      <c r="B100" t="s">
        <v>63</v>
      </c>
      <c r="C100" s="1">
        <v>45647</v>
      </c>
      <c r="D100" s="2" t="s">
        <v>166</v>
      </c>
      <c r="E100" t="s">
        <v>13</v>
      </c>
      <c r="F100" t="s">
        <v>122</v>
      </c>
      <c r="G100">
        <v>4529</v>
      </c>
      <c r="H100">
        <v>4425</v>
      </c>
      <c r="I100">
        <v>584100</v>
      </c>
      <c r="J100">
        <v>2385440</v>
      </c>
      <c r="K100">
        <v>23010365</v>
      </c>
      <c r="S100" s="1">
        <v>45317</v>
      </c>
      <c r="V100" t="str">
        <v>Arijit Singh, Badshah</v>
      </c>
    </row>
    <row r="101" spans="1:22">
      <c r="A101" t="s">
        <v>53</v>
      </c>
      <c r="B101" t="s">
        <v>60</v>
      </c>
      <c r="C101" s="1">
        <v>45499</v>
      </c>
      <c r="D101" s="2" t="s">
        <v>166</v>
      </c>
      <c r="E101" t="s">
        <v>17</v>
      </c>
      <c r="F101" t="s">
        <v>165</v>
      </c>
      <c r="G101">
        <v>726</v>
      </c>
      <c r="H101">
        <v>37105</v>
      </c>
      <c r="I101">
        <v>14545160</v>
      </c>
      <c r="J101">
        <v>835232</v>
      </c>
      <c r="K101">
        <v>42318622</v>
      </c>
      <c r="S101" s="1">
        <v>45568</v>
      </c>
      <c r="V101" t="str">
        <v>Bryan Adams, Honey Singh, Mika Singh</v>
      </c>
    </row>
    <row r="102" spans="1:22">
      <c r="S102" s="1">
        <v>45339</v>
      </c>
      <c r="V102" t="str">
        <v>Ed Sheeran, Honey Singh, Badshah, Mika Singh</v>
      </c>
    </row>
    <row r="103" spans="1:22">
      <c r="S103" s="1">
        <v>45345</v>
      </c>
      <c r="V103" t="str">
        <v>Ed Sheeran, Badshah, Arijit Singh, Bryan Adams</v>
      </c>
    </row>
    <row r="104" spans="1:22">
      <c r="S104" s="1">
        <v>45510</v>
      </c>
      <c r="V104" t="str">
        <v>Martin Garrix, Honey Singh, DJ Snake, Arijit Singh</v>
      </c>
    </row>
    <row r="105" spans="1:22">
      <c r="S105" s="1">
        <v>45609</v>
      </c>
      <c r="V105" t="str">
        <v>Mika Singh, DJ Snake, Bryan Adams, Ed Sheeran</v>
      </c>
    </row>
    <row r="106" spans="1:22">
      <c r="S106" s="1">
        <v>45414</v>
      </c>
      <c r="V106" t="str">
        <v>Martin Garrix, Bryan Adams</v>
      </c>
    </row>
    <row r="107" spans="1:22">
      <c r="S107" s="1">
        <v>45601</v>
      </c>
      <c r="V107" t="str">
        <v>Bryan Adams, Arijit Singh, Honey Singh</v>
      </c>
    </row>
    <row r="108" spans="1:22">
      <c r="S108" s="1">
        <v>45401</v>
      </c>
      <c r="V108" t="str">
        <v>Ed Sheeran, Honey Singh, DJ Snake, Bryan Adams</v>
      </c>
    </row>
    <row r="109" spans="1:22">
      <c r="S109" s="1">
        <v>45385</v>
      </c>
      <c r="V109" t="str">
        <v>Shreya Ghoshal, Martin Garrix</v>
      </c>
    </row>
    <row r="110" spans="1:22">
      <c r="S110" s="1">
        <v>45611</v>
      </c>
      <c r="V110" t="str">
        <v>Mika Singh, Diljit Dosanjh</v>
      </c>
    </row>
    <row r="111" spans="1:22">
      <c r="S111" s="1">
        <v>45636</v>
      </c>
      <c r="V111" t="str">
        <v>Arijit Singh, Mika Singh</v>
      </c>
    </row>
    <row r="112" spans="1:22">
      <c r="S112" s="1">
        <v>45324</v>
      </c>
      <c r="V112" t="str">
        <v>Mika Singh, Badshah, Ed Sheeran, Diljit Dosanjh</v>
      </c>
    </row>
    <row r="113" spans="19:22">
      <c r="S113" s="1">
        <v>45328</v>
      </c>
      <c r="V113" t="str">
        <v>Arijit Singh, Ed Sheeran</v>
      </c>
    </row>
    <row r="114" spans="19:22">
      <c r="S114" s="1">
        <v>45481</v>
      </c>
      <c r="V114" t="str">
        <v>Honey Singh, Martin Garrix, DJ Snake, Bryan Adams</v>
      </c>
    </row>
    <row r="115" spans="19:22">
      <c r="S115" s="1">
        <v>45632</v>
      </c>
      <c r="V115" t="str">
        <v>Martin Garrix, Badshah, Honey Singh, DJ Snake</v>
      </c>
    </row>
    <row r="116" spans="19:22">
      <c r="S116" s="1">
        <v>45427</v>
      </c>
      <c r="V116" t="str">
        <v>Diljit Dosanjh, Mika Singh, DJ Snake</v>
      </c>
    </row>
    <row r="117" spans="19:22">
      <c r="S117" s="1">
        <v>0</v>
      </c>
      <c r="V117" t="str">
        <v>Martin Garrix, DJ Snake, Ed Sheeran, Mika Singh</v>
      </c>
    </row>
    <row r="118" spans="19:22">
      <c r="V118" t="str">
        <v>Diljit Dosanjh, Arijit Singh, DJ Snake</v>
      </c>
    </row>
    <row r="119" spans="19:22">
      <c r="V119" t="str">
        <v>Badshah, Bryan Adams</v>
      </c>
    </row>
    <row r="120" spans="19:22">
      <c r="V120" t="str">
        <v>Arijit Singh, Ed Sheeran, Honey Singh, Mika Singh</v>
      </c>
    </row>
    <row r="121" spans="19:22">
      <c r="V121" t="str">
        <v>Diljit Dosanjh, Martin Garrix</v>
      </c>
    </row>
    <row r="122" spans="19:22">
      <c r="V122" t="str">
        <v>Mika Singh, DJ Snake</v>
      </c>
    </row>
    <row r="123" spans="19:22">
      <c r="V123" t="str">
        <v>Honey Singh, Diljit Dosanjh, Mika Singh</v>
      </c>
    </row>
    <row r="124" spans="19:22">
      <c r="V124" t="str">
        <v>Martin Garrix, Ed Sheeran, Mika Singh</v>
      </c>
    </row>
    <row r="125" spans="19:22">
      <c r="V125" t="str">
        <v>Shreya Ghoshal, Honey Singh, Badshah</v>
      </c>
    </row>
    <row r="126" spans="19:22">
      <c r="V126">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AE62-E6EB-4D34-86C7-90CCE8D31B2B}">
  <dimension ref="A1:K101"/>
  <sheetViews>
    <sheetView workbookViewId="0">
      <selection sqref="A1:K101"/>
    </sheetView>
  </sheetViews>
  <sheetFormatPr defaultRowHeight="14.4"/>
  <cols>
    <col min="3" max="3" width="10.33203125" bestFit="1" customWidth="1"/>
  </cols>
  <sheetData>
    <row r="1" spans="1:11">
      <c r="A1" t="s">
        <v>38</v>
      </c>
      <c r="B1" t="s">
        <v>39</v>
      </c>
      <c r="C1" s="1" t="s">
        <v>40</v>
      </c>
      <c r="D1" t="s">
        <v>41</v>
      </c>
      <c r="E1" t="s">
        <v>42</v>
      </c>
      <c r="F1" t="s">
        <v>43</v>
      </c>
      <c r="G1" t="s">
        <v>44</v>
      </c>
      <c r="H1" t="s">
        <v>45</v>
      </c>
      <c r="I1" t="s">
        <v>46</v>
      </c>
      <c r="J1" t="s">
        <v>47</v>
      </c>
      <c r="K1" t="s">
        <v>48</v>
      </c>
    </row>
    <row r="2" spans="1:11">
      <c r="A2" t="s">
        <v>49</v>
      </c>
      <c r="B2" t="s">
        <v>50</v>
      </c>
      <c r="C2" s="1">
        <v>45303</v>
      </c>
      <c r="D2" s="2" t="s">
        <v>166</v>
      </c>
      <c r="E2" t="s">
        <v>33</v>
      </c>
      <c r="F2" t="s">
        <v>52</v>
      </c>
      <c r="G2">
        <v>1253</v>
      </c>
      <c r="H2">
        <v>6166</v>
      </c>
      <c r="I2">
        <v>1942290</v>
      </c>
      <c r="J2">
        <v>3680408</v>
      </c>
      <c r="K2">
        <v>13348696</v>
      </c>
    </row>
    <row r="3" spans="1:11">
      <c r="A3" t="s">
        <v>53</v>
      </c>
      <c r="B3" t="s">
        <v>54</v>
      </c>
      <c r="C3" s="1">
        <v>45403</v>
      </c>
      <c r="D3" s="2" t="s">
        <v>166</v>
      </c>
      <c r="E3" t="s">
        <v>13</v>
      </c>
      <c r="F3" t="s">
        <v>55</v>
      </c>
      <c r="G3">
        <v>1689</v>
      </c>
      <c r="H3">
        <v>40643</v>
      </c>
      <c r="I3">
        <v>16622987</v>
      </c>
      <c r="J3">
        <v>2589481</v>
      </c>
      <c r="K3">
        <v>87858495</v>
      </c>
    </row>
    <row r="4" spans="1:11">
      <c r="A4" t="s">
        <v>49</v>
      </c>
      <c r="B4" t="s">
        <v>56</v>
      </c>
      <c r="C4" s="1">
        <v>45553</v>
      </c>
      <c r="D4" t="s">
        <v>57</v>
      </c>
      <c r="E4" t="s">
        <v>25</v>
      </c>
      <c r="F4" t="s">
        <v>58</v>
      </c>
      <c r="G4">
        <v>6813.8</v>
      </c>
      <c r="H4">
        <v>17889.900000000001</v>
      </c>
      <c r="I4">
        <v>7667100</v>
      </c>
      <c r="J4">
        <v>640053</v>
      </c>
      <c r="K4">
        <v>132693072</v>
      </c>
    </row>
    <row r="5" spans="1:11">
      <c r="A5" t="s">
        <v>59</v>
      </c>
      <c r="B5" t="s">
        <v>60</v>
      </c>
      <c r="C5" s="1">
        <v>45353</v>
      </c>
      <c r="D5" s="2" t="s">
        <v>166</v>
      </c>
      <c r="E5" t="s">
        <v>13</v>
      </c>
      <c r="F5" t="s">
        <v>61</v>
      </c>
      <c r="G5">
        <v>2144</v>
      </c>
      <c r="H5">
        <v>14688</v>
      </c>
      <c r="I5">
        <v>2350080</v>
      </c>
      <c r="J5">
        <v>2712686</v>
      </c>
      <c r="K5">
        <v>36553838</v>
      </c>
    </row>
    <row r="6" spans="1:11">
      <c r="A6" t="s">
        <v>62</v>
      </c>
      <c r="B6" t="s">
        <v>63</v>
      </c>
      <c r="C6" s="1">
        <v>45454</v>
      </c>
      <c r="D6" t="s">
        <v>64</v>
      </c>
      <c r="E6" t="s">
        <v>20</v>
      </c>
      <c r="F6" t="s">
        <v>65</v>
      </c>
      <c r="G6">
        <v>1886</v>
      </c>
      <c r="H6">
        <v>35244</v>
      </c>
      <c r="I6">
        <v>6132456</v>
      </c>
      <c r="J6">
        <v>1181193</v>
      </c>
      <c r="K6">
        <v>73783833</v>
      </c>
    </row>
    <row r="7" spans="1:11">
      <c r="A7" t="s">
        <v>53</v>
      </c>
      <c r="B7" t="s">
        <v>66</v>
      </c>
      <c r="C7" s="1">
        <v>45437</v>
      </c>
      <c r="D7" s="2" t="s">
        <v>166</v>
      </c>
      <c r="E7" t="s">
        <v>17</v>
      </c>
      <c r="F7" t="s">
        <v>67</v>
      </c>
      <c r="G7">
        <v>3984</v>
      </c>
      <c r="H7">
        <v>31020</v>
      </c>
      <c r="I7">
        <v>2252122</v>
      </c>
      <c r="J7">
        <v>2302603</v>
      </c>
      <c r="K7">
        <v>58605653</v>
      </c>
    </row>
    <row r="8" spans="1:11">
      <c r="A8" t="s">
        <v>53</v>
      </c>
      <c r="B8" t="s">
        <v>60</v>
      </c>
      <c r="C8" s="1">
        <v>45371</v>
      </c>
      <c r="D8" t="s">
        <v>57</v>
      </c>
      <c r="E8" t="s">
        <v>25</v>
      </c>
      <c r="F8" t="s">
        <v>68</v>
      </c>
      <c r="G8">
        <v>1162.4000000000001</v>
      </c>
      <c r="H8">
        <v>18778.2</v>
      </c>
      <c r="I8">
        <v>4828680</v>
      </c>
      <c r="J8">
        <v>4948076</v>
      </c>
      <c r="K8">
        <v>111635078</v>
      </c>
    </row>
    <row r="9" spans="1:11">
      <c r="A9" t="s">
        <v>49</v>
      </c>
      <c r="B9" t="s">
        <v>63</v>
      </c>
      <c r="C9" s="1">
        <v>45462</v>
      </c>
      <c r="D9" s="2" t="s">
        <v>166</v>
      </c>
      <c r="E9" t="s">
        <v>33</v>
      </c>
      <c r="F9" t="s">
        <v>69</v>
      </c>
      <c r="G9">
        <v>840</v>
      </c>
      <c r="H9">
        <v>33535</v>
      </c>
      <c r="I9">
        <v>12206740</v>
      </c>
      <c r="J9">
        <v>1201595</v>
      </c>
      <c r="K9">
        <v>41577735</v>
      </c>
    </row>
    <row r="10" spans="1:11">
      <c r="A10" t="s">
        <v>70</v>
      </c>
      <c r="B10" t="s">
        <v>54</v>
      </c>
      <c r="C10" s="1">
        <v>45440</v>
      </c>
      <c r="D10" s="2" t="s">
        <v>166</v>
      </c>
      <c r="E10" t="s">
        <v>35</v>
      </c>
      <c r="F10" t="s">
        <v>71</v>
      </c>
      <c r="G10">
        <v>4191</v>
      </c>
      <c r="H10">
        <v>21248.01</v>
      </c>
      <c r="I10">
        <v>4279770</v>
      </c>
      <c r="J10">
        <v>3427104</v>
      </c>
      <c r="K10">
        <v>81824709</v>
      </c>
    </row>
    <row r="11" spans="1:11">
      <c r="A11" t="s">
        <v>72</v>
      </c>
      <c r="B11" t="s">
        <v>50</v>
      </c>
      <c r="C11" s="1">
        <v>45319</v>
      </c>
      <c r="D11" s="2" t="s">
        <v>166</v>
      </c>
      <c r="E11" t="s">
        <v>13</v>
      </c>
      <c r="F11" t="s">
        <v>73</v>
      </c>
      <c r="G11">
        <v>1823</v>
      </c>
      <c r="H11">
        <v>15513</v>
      </c>
      <c r="I11">
        <v>7539318</v>
      </c>
      <c r="J11">
        <v>3948781</v>
      </c>
      <c r="K11">
        <v>39768298</v>
      </c>
    </row>
    <row r="12" spans="1:11">
      <c r="A12" t="s">
        <v>62</v>
      </c>
      <c r="B12" t="s">
        <v>66</v>
      </c>
      <c r="C12" s="1">
        <v>45462</v>
      </c>
      <c r="D12" s="2" t="s">
        <v>166</v>
      </c>
      <c r="E12" t="s">
        <v>28</v>
      </c>
      <c r="F12" t="s">
        <v>74</v>
      </c>
      <c r="G12">
        <v>3953.6</v>
      </c>
      <c r="H12">
        <v>21693</v>
      </c>
      <c r="I12">
        <v>9306297</v>
      </c>
      <c r="J12">
        <v>4798020</v>
      </c>
      <c r="K12">
        <v>75365349</v>
      </c>
    </row>
    <row r="13" spans="1:11">
      <c r="A13" t="s">
        <v>75</v>
      </c>
      <c r="B13" t="s">
        <v>60</v>
      </c>
      <c r="C13" s="1">
        <v>45649</v>
      </c>
      <c r="D13" s="2" t="s">
        <v>166</v>
      </c>
      <c r="E13" t="s">
        <v>35</v>
      </c>
      <c r="F13" t="s">
        <v>76</v>
      </c>
      <c r="G13">
        <v>2842</v>
      </c>
      <c r="H13">
        <v>24021</v>
      </c>
      <c r="I13">
        <v>5020389</v>
      </c>
      <c r="J13">
        <v>2851905</v>
      </c>
      <c r="K13">
        <v>76139976</v>
      </c>
    </row>
    <row r="14" spans="1:11">
      <c r="A14" t="s">
        <v>77</v>
      </c>
      <c r="B14" t="s">
        <v>78</v>
      </c>
      <c r="C14" s="1">
        <v>45428</v>
      </c>
      <c r="D14" t="s">
        <v>79</v>
      </c>
      <c r="E14" t="s">
        <v>9</v>
      </c>
      <c r="F14" t="s">
        <v>80</v>
      </c>
      <c r="G14">
        <v>528</v>
      </c>
      <c r="H14">
        <v>33241</v>
      </c>
      <c r="I14">
        <v>2659280</v>
      </c>
      <c r="J14">
        <v>3167786</v>
      </c>
      <c r="K14">
        <v>19328026</v>
      </c>
    </row>
    <row r="15" spans="1:11">
      <c r="A15" t="s">
        <v>81</v>
      </c>
      <c r="B15" t="s">
        <v>82</v>
      </c>
      <c r="C15" s="1">
        <v>45644</v>
      </c>
      <c r="D15" s="2" t="s">
        <v>166</v>
      </c>
      <c r="E15" t="s">
        <v>31</v>
      </c>
      <c r="F15" t="s">
        <v>83</v>
      </c>
      <c r="G15">
        <v>1543</v>
      </c>
      <c r="H15">
        <v>19867</v>
      </c>
      <c r="I15">
        <v>2821114</v>
      </c>
      <c r="J15">
        <v>2897760</v>
      </c>
      <c r="K15">
        <v>36373655</v>
      </c>
    </row>
    <row r="16" spans="1:11">
      <c r="A16" t="s">
        <v>62</v>
      </c>
      <c r="B16" t="s">
        <v>84</v>
      </c>
      <c r="C16" s="1">
        <v>45344</v>
      </c>
      <c r="D16" s="2" t="s">
        <v>166</v>
      </c>
      <c r="E16" t="s">
        <v>35</v>
      </c>
      <c r="F16" t="s">
        <v>85</v>
      </c>
      <c r="G16">
        <v>2188</v>
      </c>
      <c r="H16">
        <v>20603</v>
      </c>
      <c r="I16">
        <v>9559792</v>
      </c>
      <c r="J16">
        <v>4600450</v>
      </c>
      <c r="K16">
        <v>59239606</v>
      </c>
    </row>
    <row r="17" spans="1:11">
      <c r="A17" t="s">
        <v>59</v>
      </c>
      <c r="B17" t="s">
        <v>50</v>
      </c>
      <c r="C17" s="1">
        <v>45581</v>
      </c>
      <c r="D17" t="s">
        <v>57</v>
      </c>
      <c r="E17" t="s">
        <v>25</v>
      </c>
      <c r="F17" t="s">
        <v>86</v>
      </c>
      <c r="G17">
        <v>2217.6</v>
      </c>
      <c r="H17">
        <v>9504.6</v>
      </c>
      <c r="I17">
        <v>5892852</v>
      </c>
      <c r="J17">
        <v>795307</v>
      </c>
      <c r="K17">
        <v>28195711</v>
      </c>
    </row>
    <row r="18" spans="1:11">
      <c r="A18" t="s">
        <v>72</v>
      </c>
      <c r="B18" t="s">
        <v>54</v>
      </c>
      <c r="C18" s="1">
        <v>45455</v>
      </c>
      <c r="D18" t="s">
        <v>57</v>
      </c>
      <c r="E18" t="s">
        <v>25</v>
      </c>
      <c r="F18" t="s">
        <v>87</v>
      </c>
      <c r="G18">
        <v>5397</v>
      </c>
      <c r="H18">
        <v>9158.1</v>
      </c>
      <c r="I18">
        <v>1687707</v>
      </c>
      <c r="J18">
        <v>2188470</v>
      </c>
      <c r="K18">
        <v>54311142</v>
      </c>
    </row>
    <row r="19" spans="1:11">
      <c r="A19" t="s">
        <v>53</v>
      </c>
      <c r="B19" t="s">
        <v>78</v>
      </c>
      <c r="C19" s="1">
        <v>45384</v>
      </c>
      <c r="D19" t="s">
        <v>88</v>
      </c>
      <c r="E19" t="s">
        <v>22</v>
      </c>
      <c r="F19" t="s">
        <v>89</v>
      </c>
      <c r="G19">
        <v>1601.6</v>
      </c>
      <c r="H19">
        <v>11790</v>
      </c>
      <c r="I19">
        <v>3030030</v>
      </c>
      <c r="J19">
        <v>3635278</v>
      </c>
      <c r="K19">
        <v>20153068</v>
      </c>
    </row>
    <row r="20" spans="1:11">
      <c r="A20" t="s">
        <v>53</v>
      </c>
      <c r="B20" t="s">
        <v>54</v>
      </c>
      <c r="C20" s="1">
        <v>45531</v>
      </c>
      <c r="D20" s="2" t="s">
        <v>166</v>
      </c>
      <c r="E20" t="s">
        <v>35</v>
      </c>
      <c r="F20" t="s">
        <v>90</v>
      </c>
      <c r="G20">
        <v>4564</v>
      </c>
      <c r="H20">
        <v>31755</v>
      </c>
      <c r="I20">
        <v>6890835</v>
      </c>
      <c r="J20">
        <v>4732974</v>
      </c>
      <c r="K20">
        <v>156553629</v>
      </c>
    </row>
    <row r="21" spans="1:11">
      <c r="A21" t="s">
        <v>75</v>
      </c>
      <c r="B21" t="s">
        <v>63</v>
      </c>
      <c r="C21" s="1">
        <v>45634</v>
      </c>
      <c r="D21" t="s">
        <v>57</v>
      </c>
      <c r="E21" t="s">
        <v>25</v>
      </c>
      <c r="F21" t="s">
        <v>91</v>
      </c>
      <c r="G21">
        <v>3350.2</v>
      </c>
      <c r="H21">
        <v>2975.7</v>
      </c>
      <c r="I21">
        <v>1041495</v>
      </c>
      <c r="J21">
        <v>3001940</v>
      </c>
      <c r="K21">
        <v>14216078</v>
      </c>
    </row>
    <row r="22" spans="1:11">
      <c r="A22" t="s">
        <v>75</v>
      </c>
      <c r="B22" t="s">
        <v>54</v>
      </c>
      <c r="C22" s="1">
        <v>45460</v>
      </c>
      <c r="D22" s="2" t="s">
        <v>166</v>
      </c>
      <c r="E22" t="s">
        <v>33</v>
      </c>
      <c r="F22" t="s">
        <v>92</v>
      </c>
      <c r="G22">
        <v>4045</v>
      </c>
      <c r="H22">
        <v>27719</v>
      </c>
      <c r="I22">
        <v>7539568</v>
      </c>
      <c r="J22">
        <v>4670910</v>
      </c>
      <c r="K22">
        <v>124333833</v>
      </c>
    </row>
    <row r="23" spans="1:11">
      <c r="A23" t="s">
        <v>75</v>
      </c>
      <c r="B23" t="s">
        <v>56</v>
      </c>
      <c r="C23" s="1">
        <v>45425</v>
      </c>
      <c r="D23" t="s">
        <v>64</v>
      </c>
      <c r="E23" t="s">
        <v>20</v>
      </c>
      <c r="F23" t="s">
        <v>93</v>
      </c>
      <c r="G23">
        <v>1008</v>
      </c>
      <c r="H23">
        <v>21142</v>
      </c>
      <c r="I23">
        <v>2558182</v>
      </c>
      <c r="J23">
        <v>1632574</v>
      </c>
      <c r="K23">
        <v>25501892</v>
      </c>
    </row>
    <row r="24" spans="1:11">
      <c r="A24" t="s">
        <v>49</v>
      </c>
      <c r="B24" t="s">
        <v>94</v>
      </c>
      <c r="C24" s="1">
        <v>45474</v>
      </c>
      <c r="D24" s="2" t="s">
        <v>166</v>
      </c>
      <c r="E24" t="s">
        <v>31</v>
      </c>
      <c r="F24" t="s">
        <v>95</v>
      </c>
      <c r="G24">
        <v>2334</v>
      </c>
      <c r="H24">
        <v>16842</v>
      </c>
      <c r="I24">
        <v>6905220</v>
      </c>
      <c r="J24">
        <v>1067015</v>
      </c>
      <c r="K24">
        <v>47281463</v>
      </c>
    </row>
    <row r="25" spans="1:11">
      <c r="A25" t="s">
        <v>96</v>
      </c>
      <c r="B25" t="s">
        <v>54</v>
      </c>
      <c r="C25" s="1">
        <v>45299</v>
      </c>
      <c r="D25" t="s">
        <v>79</v>
      </c>
      <c r="E25" t="s">
        <v>9</v>
      </c>
      <c r="F25" t="s">
        <v>97</v>
      </c>
      <c r="G25">
        <v>2930.05</v>
      </c>
      <c r="H25">
        <v>14456</v>
      </c>
      <c r="I25">
        <v>4603680</v>
      </c>
      <c r="J25">
        <v>2403962</v>
      </c>
      <c r="K25">
        <v>41090442</v>
      </c>
    </row>
    <row r="26" spans="1:11">
      <c r="A26" t="s">
        <v>81</v>
      </c>
      <c r="B26" t="s">
        <v>84</v>
      </c>
      <c r="C26" s="1">
        <v>45416</v>
      </c>
      <c r="D26" s="2" t="s">
        <v>166</v>
      </c>
      <c r="E26" t="s">
        <v>33</v>
      </c>
      <c r="F26" t="s">
        <v>98</v>
      </c>
      <c r="G26">
        <v>3977</v>
      </c>
      <c r="H26">
        <v>25243</v>
      </c>
      <c r="I26">
        <v>9238938</v>
      </c>
      <c r="J26">
        <v>4689343</v>
      </c>
      <c r="K26">
        <v>114319692</v>
      </c>
    </row>
    <row r="27" spans="1:11">
      <c r="A27" t="s">
        <v>75</v>
      </c>
      <c r="B27" t="s">
        <v>66</v>
      </c>
      <c r="C27" s="1">
        <v>45407</v>
      </c>
      <c r="D27" s="2" t="s">
        <v>166</v>
      </c>
      <c r="E27" t="s">
        <v>13</v>
      </c>
      <c r="F27" t="s">
        <v>99</v>
      </c>
      <c r="G27">
        <v>3449</v>
      </c>
      <c r="H27">
        <v>13539</v>
      </c>
      <c r="I27">
        <v>5672841</v>
      </c>
      <c r="J27">
        <v>3471436</v>
      </c>
      <c r="K27">
        <v>55840288</v>
      </c>
    </row>
    <row r="28" spans="1:11">
      <c r="A28" t="s">
        <v>62</v>
      </c>
      <c r="B28" t="s">
        <v>78</v>
      </c>
      <c r="C28" s="1">
        <v>45316</v>
      </c>
      <c r="D28" s="2" t="s">
        <v>166</v>
      </c>
      <c r="E28" t="s">
        <v>33</v>
      </c>
      <c r="F28" t="s">
        <v>100</v>
      </c>
      <c r="G28">
        <v>3668</v>
      </c>
      <c r="H28">
        <v>36462</v>
      </c>
      <c r="I28">
        <v>5250528</v>
      </c>
      <c r="J28">
        <v>2377592</v>
      </c>
      <c r="K28">
        <v>141370736</v>
      </c>
    </row>
    <row r="29" spans="1:11">
      <c r="A29" t="s">
        <v>49</v>
      </c>
      <c r="B29" t="s">
        <v>60</v>
      </c>
      <c r="C29" s="1">
        <v>45539</v>
      </c>
      <c r="D29" s="2" t="s">
        <v>166</v>
      </c>
      <c r="E29" t="s">
        <v>33</v>
      </c>
      <c r="F29" t="s">
        <v>101</v>
      </c>
      <c r="G29">
        <v>3279</v>
      </c>
      <c r="H29">
        <v>32540</v>
      </c>
      <c r="I29">
        <v>13341400</v>
      </c>
      <c r="J29">
        <v>2840750</v>
      </c>
      <c r="K29">
        <v>122880810</v>
      </c>
    </row>
    <row r="30" spans="1:11">
      <c r="A30" t="s">
        <v>49</v>
      </c>
      <c r="B30" t="s">
        <v>84</v>
      </c>
      <c r="C30" s="1">
        <v>45639</v>
      </c>
      <c r="D30" s="2" t="s">
        <v>166</v>
      </c>
      <c r="E30" t="s">
        <v>13</v>
      </c>
      <c r="F30" t="s">
        <v>102</v>
      </c>
      <c r="G30">
        <v>2948</v>
      </c>
      <c r="H30">
        <v>9316</v>
      </c>
      <c r="I30">
        <v>1266976</v>
      </c>
      <c r="J30">
        <v>2704822</v>
      </c>
      <c r="K30">
        <v>31435366</v>
      </c>
    </row>
    <row r="31" spans="1:11">
      <c r="A31" t="s">
        <v>49</v>
      </c>
      <c r="B31" t="s">
        <v>54</v>
      </c>
      <c r="C31" s="1">
        <v>45647</v>
      </c>
      <c r="D31" s="2" t="s">
        <v>166</v>
      </c>
      <c r="E31" t="s">
        <v>28</v>
      </c>
      <c r="F31" t="s">
        <v>103</v>
      </c>
      <c r="G31">
        <v>2749.6</v>
      </c>
      <c r="H31">
        <v>17172</v>
      </c>
      <c r="I31">
        <v>7830432</v>
      </c>
      <c r="J31">
        <v>3956927</v>
      </c>
      <c r="K31">
        <v>45513167</v>
      </c>
    </row>
    <row r="32" spans="1:11">
      <c r="A32" t="s">
        <v>53</v>
      </c>
      <c r="B32" t="s">
        <v>56</v>
      </c>
      <c r="C32" s="1">
        <v>45410</v>
      </c>
      <c r="D32" s="2" t="s">
        <v>166</v>
      </c>
      <c r="E32" t="s">
        <v>13</v>
      </c>
      <c r="F32" t="s">
        <v>104</v>
      </c>
      <c r="G32">
        <v>4503</v>
      </c>
      <c r="H32">
        <v>16737</v>
      </c>
      <c r="I32">
        <v>6276375</v>
      </c>
      <c r="J32">
        <v>2726932</v>
      </c>
      <c r="K32">
        <v>85424449</v>
      </c>
    </row>
    <row r="33" spans="1:11">
      <c r="A33" t="s">
        <v>49</v>
      </c>
      <c r="B33" t="s">
        <v>94</v>
      </c>
      <c r="C33" s="1">
        <v>45392</v>
      </c>
      <c r="D33" s="2" t="s">
        <v>166</v>
      </c>
      <c r="E33" t="s">
        <v>35</v>
      </c>
      <c r="F33" t="s">
        <v>105</v>
      </c>
      <c r="G33">
        <v>632</v>
      </c>
      <c r="H33">
        <v>35304</v>
      </c>
      <c r="I33">
        <v>10379376</v>
      </c>
      <c r="J33">
        <v>1590737</v>
      </c>
      <c r="K33">
        <v>34282241</v>
      </c>
    </row>
    <row r="34" spans="1:11">
      <c r="A34" t="s">
        <v>96</v>
      </c>
      <c r="B34" t="s">
        <v>50</v>
      </c>
      <c r="C34" s="1">
        <v>45360</v>
      </c>
      <c r="D34" s="2" t="s">
        <v>166</v>
      </c>
      <c r="E34" t="s">
        <v>13</v>
      </c>
      <c r="F34" t="s">
        <v>106</v>
      </c>
      <c r="G34">
        <v>1932</v>
      </c>
      <c r="H34">
        <v>16841</v>
      </c>
      <c r="I34">
        <v>7713178</v>
      </c>
      <c r="J34">
        <v>4738764</v>
      </c>
      <c r="K34">
        <v>44988754</v>
      </c>
    </row>
    <row r="35" spans="1:11">
      <c r="A35" t="s">
        <v>53</v>
      </c>
      <c r="B35" t="s">
        <v>60</v>
      </c>
      <c r="C35" s="1">
        <v>45358</v>
      </c>
      <c r="D35" t="s">
        <v>57</v>
      </c>
      <c r="E35" t="s">
        <v>25</v>
      </c>
      <c r="F35" t="s">
        <v>107</v>
      </c>
      <c r="G35">
        <v>1598.8</v>
      </c>
      <c r="H35">
        <v>18210.5</v>
      </c>
      <c r="I35">
        <v>7336230</v>
      </c>
      <c r="J35">
        <v>2229062</v>
      </c>
      <c r="K35">
        <v>39274422</v>
      </c>
    </row>
    <row r="36" spans="1:11">
      <c r="A36" t="s">
        <v>49</v>
      </c>
      <c r="B36" t="s">
        <v>54</v>
      </c>
      <c r="C36" s="1">
        <v>45326</v>
      </c>
      <c r="D36" t="s">
        <v>79</v>
      </c>
      <c r="E36" t="s">
        <v>9</v>
      </c>
      <c r="F36" t="s">
        <v>108</v>
      </c>
      <c r="G36">
        <v>1933</v>
      </c>
      <c r="H36">
        <v>58687.199999999997</v>
      </c>
      <c r="I36">
        <v>16296984</v>
      </c>
      <c r="J36">
        <v>1120895</v>
      </c>
      <c r="K36">
        <v>104681231</v>
      </c>
    </row>
    <row r="37" spans="1:11">
      <c r="A37" t="s">
        <v>72</v>
      </c>
      <c r="B37" t="s">
        <v>56</v>
      </c>
      <c r="C37" s="1">
        <v>45395</v>
      </c>
      <c r="D37" t="s">
        <v>79</v>
      </c>
      <c r="E37" t="s">
        <v>9</v>
      </c>
      <c r="F37" t="s">
        <v>109</v>
      </c>
      <c r="G37">
        <v>1824</v>
      </c>
      <c r="H37">
        <v>7559.5</v>
      </c>
      <c r="I37">
        <v>1913135</v>
      </c>
      <c r="J37">
        <v>4680189</v>
      </c>
      <c r="K37">
        <v>21654174</v>
      </c>
    </row>
    <row r="38" spans="1:11">
      <c r="A38" t="s">
        <v>59</v>
      </c>
      <c r="B38" t="s">
        <v>56</v>
      </c>
      <c r="C38" s="1">
        <v>45509</v>
      </c>
      <c r="D38" s="2" t="s">
        <v>166</v>
      </c>
      <c r="E38" t="s">
        <v>31</v>
      </c>
      <c r="F38" t="s">
        <v>110</v>
      </c>
      <c r="G38">
        <v>4452</v>
      </c>
      <c r="H38">
        <v>31745</v>
      </c>
      <c r="I38">
        <v>4412555</v>
      </c>
      <c r="J38">
        <v>4091720</v>
      </c>
      <c r="K38">
        <v>149833015</v>
      </c>
    </row>
    <row r="39" spans="1:11">
      <c r="A39" t="s">
        <v>70</v>
      </c>
      <c r="B39" t="s">
        <v>82</v>
      </c>
      <c r="C39" s="1">
        <v>45555</v>
      </c>
      <c r="D39" s="2" t="s">
        <v>166</v>
      </c>
      <c r="E39" t="s">
        <v>17</v>
      </c>
      <c r="F39" t="s">
        <v>111</v>
      </c>
      <c r="G39">
        <v>2716</v>
      </c>
      <c r="H39">
        <v>12688</v>
      </c>
      <c r="I39">
        <v>2486848</v>
      </c>
      <c r="J39">
        <v>1413822</v>
      </c>
      <c r="K39">
        <v>38361278</v>
      </c>
    </row>
    <row r="40" spans="1:11">
      <c r="A40" t="s">
        <v>75</v>
      </c>
      <c r="B40" t="s">
        <v>94</v>
      </c>
      <c r="C40" s="1">
        <v>45507</v>
      </c>
      <c r="D40" s="2" t="s">
        <v>166</v>
      </c>
      <c r="E40" t="s">
        <v>17</v>
      </c>
      <c r="F40" t="s">
        <v>112</v>
      </c>
      <c r="G40">
        <v>2237</v>
      </c>
      <c r="H40">
        <v>20276</v>
      </c>
      <c r="I40">
        <v>9671652</v>
      </c>
      <c r="J40">
        <v>4912334</v>
      </c>
      <c r="K40">
        <v>59941398</v>
      </c>
    </row>
    <row r="41" spans="1:11">
      <c r="A41" t="s">
        <v>70</v>
      </c>
      <c r="B41" t="s">
        <v>63</v>
      </c>
      <c r="C41" s="1">
        <v>45468</v>
      </c>
      <c r="D41" s="2" t="s">
        <v>166</v>
      </c>
      <c r="E41" t="s">
        <v>33</v>
      </c>
      <c r="F41" t="s">
        <v>110</v>
      </c>
      <c r="G41">
        <v>1412</v>
      </c>
      <c r="H41">
        <v>21248.01</v>
      </c>
      <c r="I41">
        <v>12753000</v>
      </c>
      <c r="J41">
        <v>663225</v>
      </c>
      <c r="K41">
        <v>61435521</v>
      </c>
    </row>
    <row r="42" spans="1:11">
      <c r="A42" t="s">
        <v>70</v>
      </c>
      <c r="B42" t="s">
        <v>60</v>
      </c>
      <c r="C42" s="1">
        <v>45654</v>
      </c>
      <c r="D42" t="s">
        <v>79</v>
      </c>
      <c r="E42" t="s">
        <v>9</v>
      </c>
      <c r="F42" t="s">
        <v>113</v>
      </c>
      <c r="G42">
        <v>836</v>
      </c>
      <c r="H42">
        <v>56160</v>
      </c>
      <c r="I42">
        <v>14904000</v>
      </c>
      <c r="J42">
        <v>4753926</v>
      </c>
      <c r="K42">
        <v>55773126</v>
      </c>
    </row>
    <row r="43" spans="1:11">
      <c r="A43" t="s">
        <v>70</v>
      </c>
      <c r="B43" t="s">
        <v>94</v>
      </c>
      <c r="C43" s="1">
        <v>45527</v>
      </c>
      <c r="D43" t="s">
        <v>79</v>
      </c>
      <c r="E43" t="s">
        <v>9</v>
      </c>
      <c r="F43" t="s">
        <v>114</v>
      </c>
      <c r="G43">
        <v>625</v>
      </c>
      <c r="H43">
        <v>34043.1</v>
      </c>
      <c r="I43">
        <v>11705589</v>
      </c>
      <c r="J43">
        <v>2483828</v>
      </c>
      <c r="K43">
        <v>30556292</v>
      </c>
    </row>
    <row r="44" spans="1:11">
      <c r="A44" t="s">
        <v>72</v>
      </c>
      <c r="B44" t="s">
        <v>50</v>
      </c>
      <c r="C44" s="1">
        <v>45555</v>
      </c>
      <c r="D44" s="2" t="s">
        <v>166</v>
      </c>
      <c r="E44" t="s">
        <v>33</v>
      </c>
      <c r="F44" t="s">
        <v>115</v>
      </c>
      <c r="G44">
        <v>4629</v>
      </c>
      <c r="H44">
        <v>34318</v>
      </c>
      <c r="I44">
        <v>5113382</v>
      </c>
      <c r="J44">
        <v>3030898</v>
      </c>
      <c r="K44">
        <v>167002302</v>
      </c>
    </row>
    <row r="45" spans="1:11">
      <c r="A45" t="s">
        <v>72</v>
      </c>
      <c r="B45" t="s">
        <v>94</v>
      </c>
      <c r="C45" s="1">
        <v>45524</v>
      </c>
      <c r="D45" s="2" t="s">
        <v>166</v>
      </c>
      <c r="E45" t="s">
        <v>17</v>
      </c>
      <c r="F45" t="s">
        <v>116</v>
      </c>
      <c r="G45">
        <v>3412</v>
      </c>
      <c r="H45">
        <v>22029</v>
      </c>
      <c r="I45">
        <v>7401744</v>
      </c>
      <c r="J45">
        <v>4420985</v>
      </c>
      <c r="K45">
        <v>86985677</v>
      </c>
    </row>
    <row r="46" spans="1:11">
      <c r="A46" t="s">
        <v>62</v>
      </c>
      <c r="B46" t="s">
        <v>66</v>
      </c>
      <c r="C46" s="1">
        <v>45606</v>
      </c>
      <c r="D46" t="s">
        <v>79</v>
      </c>
      <c r="E46" t="s">
        <v>9</v>
      </c>
      <c r="F46" t="s">
        <v>117</v>
      </c>
      <c r="G46">
        <v>2105</v>
      </c>
      <c r="H46">
        <v>52642.2</v>
      </c>
      <c r="I46">
        <v>15468708</v>
      </c>
      <c r="J46">
        <v>4334451</v>
      </c>
      <c r="K46">
        <v>105043029</v>
      </c>
    </row>
    <row r="47" spans="1:11">
      <c r="A47" t="s">
        <v>53</v>
      </c>
      <c r="B47" t="s">
        <v>82</v>
      </c>
      <c r="C47" s="1">
        <v>45512</v>
      </c>
      <c r="D47" t="s">
        <v>79</v>
      </c>
      <c r="E47" t="s">
        <v>9</v>
      </c>
      <c r="F47" t="s">
        <v>118</v>
      </c>
      <c r="G47">
        <v>737</v>
      </c>
      <c r="H47">
        <v>28345.200000000001</v>
      </c>
      <c r="I47">
        <v>3292404</v>
      </c>
      <c r="J47">
        <v>4566892</v>
      </c>
      <c r="K47">
        <v>23928844</v>
      </c>
    </row>
    <row r="48" spans="1:11">
      <c r="A48" t="s">
        <v>75</v>
      </c>
      <c r="B48" t="s">
        <v>60</v>
      </c>
      <c r="C48" s="1">
        <v>45654</v>
      </c>
      <c r="D48" s="2" t="s">
        <v>166</v>
      </c>
      <c r="E48" t="s">
        <v>17</v>
      </c>
      <c r="F48" t="s">
        <v>119</v>
      </c>
      <c r="G48">
        <v>933</v>
      </c>
      <c r="H48">
        <v>31752</v>
      </c>
      <c r="I48">
        <v>5366088</v>
      </c>
      <c r="J48">
        <v>1334941</v>
      </c>
      <c r="K48">
        <v>36325645</v>
      </c>
    </row>
    <row r="49" spans="1:11">
      <c r="A49" t="s">
        <v>53</v>
      </c>
      <c r="B49" t="s">
        <v>56</v>
      </c>
      <c r="C49" s="1">
        <v>45467</v>
      </c>
      <c r="D49" t="s">
        <v>64</v>
      </c>
      <c r="E49" t="s">
        <v>20</v>
      </c>
      <c r="F49" t="s">
        <v>120</v>
      </c>
      <c r="G49">
        <v>4503</v>
      </c>
      <c r="H49">
        <v>7651</v>
      </c>
      <c r="I49">
        <v>1361878</v>
      </c>
      <c r="J49">
        <v>2805968</v>
      </c>
      <c r="K49">
        <v>38620299</v>
      </c>
    </row>
    <row r="50" spans="1:11">
      <c r="A50" t="s">
        <v>77</v>
      </c>
      <c r="B50" t="s">
        <v>94</v>
      </c>
      <c r="C50" s="1">
        <v>45423</v>
      </c>
      <c r="D50" t="s">
        <v>88</v>
      </c>
      <c r="E50" t="s">
        <v>22</v>
      </c>
      <c r="F50" t="s">
        <v>121</v>
      </c>
      <c r="G50">
        <v>2615.1999999999998</v>
      </c>
      <c r="H50">
        <v>6000</v>
      </c>
      <c r="I50">
        <v>2094000</v>
      </c>
      <c r="J50">
        <v>3409793</v>
      </c>
      <c r="K50">
        <v>16711793</v>
      </c>
    </row>
    <row r="51" spans="1:11">
      <c r="A51" t="s">
        <v>77</v>
      </c>
      <c r="B51" t="s">
        <v>66</v>
      </c>
      <c r="C51" s="1">
        <v>45386</v>
      </c>
      <c r="D51" t="s">
        <v>79</v>
      </c>
      <c r="E51" t="s">
        <v>9</v>
      </c>
      <c r="F51" t="s">
        <v>122</v>
      </c>
      <c r="G51">
        <v>4046</v>
      </c>
      <c r="H51">
        <v>32925.1</v>
      </c>
      <c r="I51">
        <v>4356244</v>
      </c>
      <c r="J51">
        <v>1785594</v>
      </c>
      <c r="K51">
        <v>108614880</v>
      </c>
    </row>
    <row r="52" spans="1:11">
      <c r="A52" t="s">
        <v>59</v>
      </c>
      <c r="B52" t="s">
        <v>63</v>
      </c>
      <c r="C52" s="1">
        <v>45318</v>
      </c>
      <c r="D52" t="s">
        <v>57</v>
      </c>
      <c r="E52" t="s">
        <v>25</v>
      </c>
      <c r="F52" t="s">
        <v>123</v>
      </c>
      <c r="G52">
        <v>4613</v>
      </c>
      <c r="H52">
        <v>9412.2000000000007</v>
      </c>
      <c r="I52">
        <v>5580090</v>
      </c>
      <c r="J52">
        <v>4314798</v>
      </c>
      <c r="K52">
        <v>54199458</v>
      </c>
    </row>
    <row r="53" spans="1:11">
      <c r="A53" t="s">
        <v>59</v>
      </c>
      <c r="B53" t="s">
        <v>60</v>
      </c>
      <c r="C53" s="1">
        <v>45499</v>
      </c>
      <c r="D53" t="s">
        <v>64</v>
      </c>
      <c r="E53" t="s">
        <v>20</v>
      </c>
      <c r="F53" t="s">
        <v>124</v>
      </c>
      <c r="G53">
        <v>3437</v>
      </c>
      <c r="H53">
        <v>17457</v>
      </c>
      <c r="I53">
        <v>4800675</v>
      </c>
      <c r="J53">
        <v>3816903</v>
      </c>
      <c r="K53">
        <v>68617287</v>
      </c>
    </row>
    <row r="54" spans="1:11">
      <c r="A54" t="s">
        <v>77</v>
      </c>
      <c r="B54" t="s">
        <v>66</v>
      </c>
      <c r="C54" s="1">
        <v>45543</v>
      </c>
      <c r="D54" s="2" t="s">
        <v>166</v>
      </c>
      <c r="E54" t="s">
        <v>31</v>
      </c>
      <c r="F54" t="s">
        <v>65</v>
      </c>
      <c r="G54">
        <v>2167</v>
      </c>
      <c r="H54">
        <v>23456</v>
      </c>
      <c r="I54">
        <v>8068864</v>
      </c>
      <c r="J54">
        <v>4892379</v>
      </c>
      <c r="K54">
        <v>63790395</v>
      </c>
    </row>
    <row r="55" spans="1:11">
      <c r="A55" t="s">
        <v>59</v>
      </c>
      <c r="B55" t="s">
        <v>60</v>
      </c>
      <c r="C55" s="1">
        <v>45607</v>
      </c>
      <c r="D55" t="s">
        <v>57</v>
      </c>
      <c r="E55" t="s">
        <v>25</v>
      </c>
      <c r="F55" t="s">
        <v>125</v>
      </c>
      <c r="G55">
        <v>2289</v>
      </c>
      <c r="H55">
        <v>12636.4</v>
      </c>
      <c r="I55">
        <v>5054560</v>
      </c>
      <c r="J55">
        <v>11048770</v>
      </c>
      <c r="K55">
        <v>36779334</v>
      </c>
    </row>
    <row r="56" spans="1:11">
      <c r="A56" t="s">
        <v>53</v>
      </c>
      <c r="B56" t="s">
        <v>63</v>
      </c>
      <c r="C56" s="1">
        <v>45635</v>
      </c>
      <c r="D56" s="2" t="s">
        <v>166</v>
      </c>
      <c r="E56" t="s">
        <v>13</v>
      </c>
      <c r="F56" t="s">
        <v>126</v>
      </c>
      <c r="G56">
        <v>2495</v>
      </c>
      <c r="H56">
        <v>26922</v>
      </c>
      <c r="I56">
        <v>12868716</v>
      </c>
      <c r="J56">
        <v>4865146</v>
      </c>
      <c r="K56">
        <v>339617008</v>
      </c>
    </row>
    <row r="57" spans="1:11">
      <c r="A57" t="s">
        <v>81</v>
      </c>
      <c r="B57" t="s">
        <v>63</v>
      </c>
      <c r="C57" s="1">
        <v>45304</v>
      </c>
      <c r="D57" t="s">
        <v>57</v>
      </c>
      <c r="E57" t="s">
        <v>25</v>
      </c>
      <c r="F57" t="s">
        <v>101</v>
      </c>
      <c r="G57">
        <v>1244.5999999999999</v>
      </c>
      <c r="H57">
        <v>23400.3</v>
      </c>
      <c r="I57">
        <v>10463277</v>
      </c>
      <c r="J57">
        <v>1325646</v>
      </c>
      <c r="K57">
        <v>41507304</v>
      </c>
    </row>
    <row r="58" spans="1:11">
      <c r="A58" t="s">
        <v>75</v>
      </c>
      <c r="B58" t="s">
        <v>78</v>
      </c>
      <c r="C58" s="1">
        <v>45509</v>
      </c>
      <c r="D58" s="2" t="s">
        <v>166</v>
      </c>
      <c r="E58" t="s">
        <v>35</v>
      </c>
      <c r="F58" t="s">
        <v>127</v>
      </c>
      <c r="G58">
        <v>4120</v>
      </c>
      <c r="H58">
        <v>11366.6</v>
      </c>
      <c r="I58">
        <v>4873518</v>
      </c>
      <c r="J58">
        <v>2422363</v>
      </c>
      <c r="K58">
        <v>93103121</v>
      </c>
    </row>
    <row r="59" spans="1:11">
      <c r="A59" t="s">
        <v>81</v>
      </c>
      <c r="B59" t="s">
        <v>60</v>
      </c>
      <c r="C59" s="1">
        <v>45448</v>
      </c>
      <c r="D59" s="2" t="s">
        <v>166</v>
      </c>
      <c r="E59" t="s">
        <v>35</v>
      </c>
      <c r="F59" t="s">
        <v>128</v>
      </c>
      <c r="G59">
        <v>2930.05</v>
      </c>
      <c r="H59">
        <v>21249.01</v>
      </c>
      <c r="I59">
        <v>4728492</v>
      </c>
      <c r="J59">
        <v>3476973</v>
      </c>
      <c r="K59">
        <v>15717666</v>
      </c>
    </row>
    <row r="60" spans="1:11">
      <c r="A60" t="s">
        <v>96</v>
      </c>
      <c r="B60" t="s">
        <v>84</v>
      </c>
      <c r="C60" s="1">
        <v>45326</v>
      </c>
      <c r="D60" t="s">
        <v>57</v>
      </c>
      <c r="E60" t="s">
        <v>25</v>
      </c>
      <c r="F60" t="s">
        <v>129</v>
      </c>
      <c r="G60">
        <v>4459</v>
      </c>
      <c r="H60">
        <v>19021.099999999999</v>
      </c>
      <c r="I60">
        <v>9592069</v>
      </c>
      <c r="J60">
        <v>3713395</v>
      </c>
      <c r="K60">
        <v>99851469</v>
      </c>
    </row>
    <row r="61" spans="1:11">
      <c r="A61" t="s">
        <v>53</v>
      </c>
      <c r="B61" t="s">
        <v>66</v>
      </c>
      <c r="C61" s="1">
        <v>45431</v>
      </c>
      <c r="D61" s="2" t="s">
        <v>166</v>
      </c>
      <c r="E61" t="s">
        <v>35</v>
      </c>
      <c r="F61" t="s">
        <v>89</v>
      </c>
      <c r="G61">
        <v>3984</v>
      </c>
      <c r="H61">
        <v>31020</v>
      </c>
      <c r="I61">
        <v>10701900</v>
      </c>
      <c r="J61">
        <v>854727</v>
      </c>
      <c r="K61">
        <v>122856387</v>
      </c>
    </row>
    <row r="62" spans="1:11">
      <c r="A62" t="s">
        <v>70</v>
      </c>
      <c r="B62" t="s">
        <v>66</v>
      </c>
      <c r="C62" s="1">
        <v>45583</v>
      </c>
      <c r="D62" s="2" t="s">
        <v>166</v>
      </c>
      <c r="E62" t="s">
        <v>17</v>
      </c>
      <c r="F62" t="s">
        <v>130</v>
      </c>
      <c r="G62">
        <v>3586</v>
      </c>
      <c r="H62">
        <v>5456</v>
      </c>
      <c r="I62">
        <v>1085744</v>
      </c>
      <c r="J62">
        <v>3936852</v>
      </c>
      <c r="K62">
        <v>19235476</v>
      </c>
    </row>
    <row r="63" spans="1:11">
      <c r="A63" t="s">
        <v>62</v>
      </c>
      <c r="B63" t="s">
        <v>66</v>
      </c>
      <c r="C63" s="1">
        <v>45484</v>
      </c>
      <c r="D63" t="s">
        <v>64</v>
      </c>
      <c r="E63" t="s">
        <v>20</v>
      </c>
      <c r="F63" t="s">
        <v>131</v>
      </c>
      <c r="G63">
        <v>4134</v>
      </c>
      <c r="H63">
        <v>37167.599999999999</v>
      </c>
      <c r="I63">
        <v>15825404</v>
      </c>
      <c r="J63">
        <v>3103482</v>
      </c>
      <c r="K63">
        <v>184975130</v>
      </c>
    </row>
    <row r="64" spans="1:11">
      <c r="A64" t="s">
        <v>70</v>
      </c>
      <c r="B64" t="s">
        <v>60</v>
      </c>
      <c r="C64" s="1">
        <v>45486</v>
      </c>
      <c r="D64" s="2" t="s">
        <v>166</v>
      </c>
      <c r="E64" t="s">
        <v>28</v>
      </c>
      <c r="F64" t="s">
        <v>132</v>
      </c>
      <c r="G64">
        <v>5391.4</v>
      </c>
      <c r="H64">
        <v>11355</v>
      </c>
      <c r="I64">
        <v>2305065</v>
      </c>
      <c r="J64">
        <v>1958821</v>
      </c>
      <c r="K64">
        <v>191967964</v>
      </c>
    </row>
    <row r="65" spans="1:11">
      <c r="A65" t="s">
        <v>75</v>
      </c>
      <c r="B65" t="s">
        <v>54</v>
      </c>
      <c r="C65" s="1">
        <v>45457</v>
      </c>
      <c r="D65" t="s">
        <v>64</v>
      </c>
      <c r="E65" t="s">
        <v>20</v>
      </c>
      <c r="F65" t="s">
        <v>133</v>
      </c>
      <c r="G65">
        <v>4045</v>
      </c>
      <c r="H65">
        <v>27719</v>
      </c>
      <c r="I65">
        <v>3236079</v>
      </c>
      <c r="J65">
        <v>3039149</v>
      </c>
      <c r="K65">
        <v>24290802</v>
      </c>
    </row>
    <row r="66" spans="1:11">
      <c r="A66" t="s">
        <v>96</v>
      </c>
      <c r="B66" t="s">
        <v>63</v>
      </c>
      <c r="C66" s="1">
        <v>45292</v>
      </c>
      <c r="D66" s="2" t="s">
        <v>166</v>
      </c>
      <c r="E66" t="s">
        <v>13</v>
      </c>
      <c r="F66" t="s">
        <v>134</v>
      </c>
      <c r="G66">
        <v>3769</v>
      </c>
      <c r="H66">
        <v>35877</v>
      </c>
      <c r="I66">
        <v>5489181</v>
      </c>
      <c r="J66">
        <v>8648395</v>
      </c>
      <c r="K66">
        <v>142439273</v>
      </c>
    </row>
    <row r="67" spans="1:11">
      <c r="A67" t="s">
        <v>81</v>
      </c>
      <c r="B67" t="s">
        <v>50</v>
      </c>
      <c r="C67" s="1">
        <v>45370</v>
      </c>
      <c r="D67" s="2" t="s">
        <v>166</v>
      </c>
      <c r="E67" t="s">
        <v>33</v>
      </c>
      <c r="F67" t="s">
        <v>135</v>
      </c>
      <c r="G67">
        <v>2589</v>
      </c>
      <c r="H67">
        <v>8270</v>
      </c>
      <c r="I67">
        <v>1563030</v>
      </c>
      <c r="J67">
        <v>3564057</v>
      </c>
      <c r="K67">
        <v>106152468</v>
      </c>
    </row>
    <row r="68" spans="1:11">
      <c r="A68" t="s">
        <v>75</v>
      </c>
      <c r="B68" t="s">
        <v>63</v>
      </c>
      <c r="C68" s="1">
        <v>45616</v>
      </c>
      <c r="D68" t="s">
        <v>88</v>
      </c>
      <c r="E68" t="s">
        <v>22</v>
      </c>
      <c r="F68" t="s">
        <v>136</v>
      </c>
      <c r="G68">
        <v>1867.6</v>
      </c>
      <c r="H68">
        <v>46028</v>
      </c>
      <c r="I68">
        <v>20068208</v>
      </c>
      <c r="J68">
        <v>2266980</v>
      </c>
      <c r="K68">
        <v>83736540</v>
      </c>
    </row>
    <row r="69" spans="1:11">
      <c r="A69" t="s">
        <v>70</v>
      </c>
      <c r="B69" t="s">
        <v>60</v>
      </c>
      <c r="C69" s="1">
        <v>45420</v>
      </c>
      <c r="D69" s="2" t="s">
        <v>166</v>
      </c>
      <c r="E69" t="s">
        <v>13</v>
      </c>
      <c r="F69" t="s">
        <v>137</v>
      </c>
      <c r="G69">
        <v>4078</v>
      </c>
      <c r="H69">
        <v>9560</v>
      </c>
      <c r="I69">
        <v>3795320</v>
      </c>
      <c r="J69">
        <v>2303574</v>
      </c>
      <c r="K69">
        <v>45084574</v>
      </c>
    </row>
    <row r="70" spans="1:11">
      <c r="A70" t="s">
        <v>96</v>
      </c>
      <c r="B70" t="s">
        <v>60</v>
      </c>
      <c r="C70" s="1">
        <v>45368</v>
      </c>
      <c r="D70" t="s">
        <v>64</v>
      </c>
      <c r="E70" t="s">
        <v>20</v>
      </c>
      <c r="F70" t="s">
        <v>138</v>
      </c>
      <c r="G70">
        <v>1381</v>
      </c>
      <c r="H70">
        <v>13578</v>
      </c>
      <c r="I70">
        <v>5336154</v>
      </c>
      <c r="J70">
        <v>1442642</v>
      </c>
      <c r="K70">
        <v>25530014</v>
      </c>
    </row>
    <row r="71" spans="1:11">
      <c r="A71" t="s">
        <v>49</v>
      </c>
      <c r="B71" t="s">
        <v>78</v>
      </c>
      <c r="C71" s="1">
        <v>45525</v>
      </c>
      <c r="D71" s="2" t="s">
        <v>166</v>
      </c>
      <c r="E71" t="s">
        <v>28</v>
      </c>
      <c r="F71" t="s">
        <v>139</v>
      </c>
      <c r="G71">
        <v>6914.6</v>
      </c>
      <c r="H71">
        <v>40916</v>
      </c>
      <c r="I71">
        <v>19926092</v>
      </c>
      <c r="J71">
        <v>3643451</v>
      </c>
      <c r="K71">
        <v>225653667</v>
      </c>
    </row>
    <row r="72" spans="1:11">
      <c r="A72" t="s">
        <v>59</v>
      </c>
      <c r="B72" t="s">
        <v>94</v>
      </c>
      <c r="C72" s="1">
        <v>45506</v>
      </c>
      <c r="D72" s="2" t="s">
        <v>166</v>
      </c>
      <c r="E72" t="s">
        <v>13</v>
      </c>
      <c r="F72" t="s">
        <v>140</v>
      </c>
      <c r="G72">
        <v>2817</v>
      </c>
      <c r="H72">
        <v>13994</v>
      </c>
      <c r="I72">
        <v>6689132</v>
      </c>
      <c r="J72">
        <v>3519113</v>
      </c>
      <c r="K72">
        <v>49629343</v>
      </c>
    </row>
    <row r="73" spans="1:11">
      <c r="A73" t="s">
        <v>96</v>
      </c>
      <c r="B73" t="s">
        <v>56</v>
      </c>
      <c r="C73" s="1">
        <v>45317</v>
      </c>
      <c r="D73" s="2" t="s">
        <v>166</v>
      </c>
      <c r="E73" t="s">
        <v>33</v>
      </c>
      <c r="F73" t="s">
        <v>141</v>
      </c>
      <c r="G73">
        <v>2937</v>
      </c>
      <c r="H73">
        <v>14499</v>
      </c>
      <c r="I73">
        <v>7177005</v>
      </c>
      <c r="J73">
        <v>1341541</v>
      </c>
      <c r="K73">
        <v>51102109</v>
      </c>
    </row>
    <row r="74" spans="1:11">
      <c r="A74" t="s">
        <v>75</v>
      </c>
      <c r="B74" t="s">
        <v>63</v>
      </c>
      <c r="C74" s="1">
        <v>45568</v>
      </c>
      <c r="D74" s="2" t="s">
        <v>166</v>
      </c>
      <c r="E74" t="s">
        <v>28</v>
      </c>
      <c r="F74" t="s">
        <v>142</v>
      </c>
      <c r="G74">
        <v>3235.4</v>
      </c>
      <c r="H74">
        <v>15002</v>
      </c>
      <c r="I74">
        <v>3975530</v>
      </c>
      <c r="J74">
        <v>4947667</v>
      </c>
      <c r="K74">
        <v>43592819</v>
      </c>
    </row>
    <row r="75" spans="1:11">
      <c r="A75" t="s">
        <v>49</v>
      </c>
      <c r="B75" t="s">
        <v>60</v>
      </c>
      <c r="C75" s="1">
        <v>45339</v>
      </c>
      <c r="D75" s="2" t="s">
        <v>166</v>
      </c>
      <c r="E75" t="s">
        <v>28</v>
      </c>
      <c r="F75" t="s">
        <v>143</v>
      </c>
      <c r="G75">
        <v>2224.6</v>
      </c>
      <c r="H75">
        <v>23169</v>
      </c>
      <c r="I75">
        <v>5630067</v>
      </c>
      <c r="J75">
        <v>4471729</v>
      </c>
      <c r="K75">
        <v>46917337</v>
      </c>
    </row>
    <row r="76" spans="1:11">
      <c r="A76" t="s">
        <v>77</v>
      </c>
      <c r="B76" t="s">
        <v>63</v>
      </c>
      <c r="C76" s="1">
        <v>45616</v>
      </c>
      <c r="D76" s="2" t="s">
        <v>166</v>
      </c>
      <c r="E76" t="s">
        <v>28</v>
      </c>
      <c r="F76" t="s">
        <v>144</v>
      </c>
      <c r="G76">
        <v>2679.6</v>
      </c>
      <c r="H76">
        <v>21248.01</v>
      </c>
      <c r="I76">
        <v>1370391</v>
      </c>
      <c r="J76">
        <v>1953924</v>
      </c>
      <c r="K76">
        <v>23346669</v>
      </c>
    </row>
    <row r="77" spans="1:11">
      <c r="A77" t="s">
        <v>81</v>
      </c>
      <c r="B77" t="s">
        <v>78</v>
      </c>
      <c r="C77" s="1">
        <v>45345</v>
      </c>
      <c r="D77" s="2" t="s">
        <v>166</v>
      </c>
      <c r="E77" t="s">
        <v>17</v>
      </c>
      <c r="F77" t="s">
        <v>145</v>
      </c>
      <c r="G77">
        <v>2567</v>
      </c>
      <c r="H77">
        <v>4240</v>
      </c>
      <c r="I77">
        <v>1861360</v>
      </c>
      <c r="J77">
        <v>1698282</v>
      </c>
      <c r="K77">
        <v>14443722</v>
      </c>
    </row>
    <row r="78" spans="1:11">
      <c r="A78" t="s">
        <v>62</v>
      </c>
      <c r="B78" t="s">
        <v>54</v>
      </c>
      <c r="C78" s="1">
        <v>45543</v>
      </c>
      <c r="D78" t="s">
        <v>57</v>
      </c>
      <c r="E78" t="s">
        <v>25</v>
      </c>
      <c r="F78" t="s">
        <v>119</v>
      </c>
      <c r="G78">
        <v>6972</v>
      </c>
      <c r="H78">
        <v>21681.1</v>
      </c>
      <c r="I78">
        <v>13875904</v>
      </c>
      <c r="J78">
        <v>2510128</v>
      </c>
      <c r="K78">
        <v>170631572</v>
      </c>
    </row>
    <row r="79" spans="1:11">
      <c r="A79" t="s">
        <v>62</v>
      </c>
      <c r="B79" t="s">
        <v>78</v>
      </c>
      <c r="C79" s="1">
        <v>45510</v>
      </c>
      <c r="D79" s="2" t="s">
        <v>166</v>
      </c>
      <c r="E79" t="s">
        <v>13</v>
      </c>
      <c r="F79" t="s">
        <v>146</v>
      </c>
      <c r="G79">
        <v>3668</v>
      </c>
      <c r="H79">
        <v>32900</v>
      </c>
      <c r="I79">
        <v>6777400</v>
      </c>
      <c r="J79">
        <v>3584230</v>
      </c>
      <c r="K79">
        <v>126301230</v>
      </c>
    </row>
    <row r="80" spans="1:11">
      <c r="A80" t="s">
        <v>75</v>
      </c>
      <c r="B80" t="s">
        <v>78</v>
      </c>
      <c r="C80" s="1">
        <v>45609</v>
      </c>
      <c r="D80" t="s">
        <v>57</v>
      </c>
      <c r="E80" t="s">
        <v>25</v>
      </c>
      <c r="F80" t="s">
        <v>147</v>
      </c>
      <c r="G80">
        <v>4765.6000000000004</v>
      </c>
      <c r="H80">
        <v>11366.6</v>
      </c>
      <c r="I80">
        <v>6933626</v>
      </c>
      <c r="J80">
        <v>2380633</v>
      </c>
      <c r="K80">
        <v>64588411</v>
      </c>
    </row>
    <row r="81" spans="1:11">
      <c r="A81" t="s">
        <v>77</v>
      </c>
      <c r="B81" t="s">
        <v>54</v>
      </c>
      <c r="C81" s="1">
        <v>45414</v>
      </c>
      <c r="D81" s="2" t="s">
        <v>166</v>
      </c>
      <c r="E81" t="s">
        <v>35</v>
      </c>
      <c r="F81" t="s">
        <v>148</v>
      </c>
      <c r="G81">
        <v>3243</v>
      </c>
      <c r="H81">
        <v>5362</v>
      </c>
      <c r="I81">
        <v>739956</v>
      </c>
      <c r="J81">
        <v>4259028</v>
      </c>
      <c r="K81">
        <v>22387950</v>
      </c>
    </row>
    <row r="82" spans="1:11">
      <c r="A82" t="s">
        <v>77</v>
      </c>
      <c r="B82" t="s">
        <v>94</v>
      </c>
      <c r="C82" s="1">
        <v>45531</v>
      </c>
      <c r="D82" s="2" t="s">
        <v>166</v>
      </c>
      <c r="E82" t="s">
        <v>31</v>
      </c>
      <c r="F82" t="s">
        <v>149</v>
      </c>
      <c r="G82">
        <v>1599</v>
      </c>
      <c r="H82">
        <v>6748</v>
      </c>
      <c r="I82">
        <v>1005452</v>
      </c>
      <c r="J82">
        <v>3330904</v>
      </c>
      <c r="K82">
        <v>15126408</v>
      </c>
    </row>
    <row r="83" spans="1:11">
      <c r="A83" t="s">
        <v>77</v>
      </c>
      <c r="B83" t="s">
        <v>66</v>
      </c>
      <c r="C83" s="1">
        <v>45326</v>
      </c>
      <c r="D83" t="s">
        <v>64</v>
      </c>
      <c r="E83" t="s">
        <v>20</v>
      </c>
      <c r="F83" t="s">
        <v>150</v>
      </c>
      <c r="G83">
        <v>1180</v>
      </c>
      <c r="H83">
        <v>11979</v>
      </c>
      <c r="I83">
        <v>3114540</v>
      </c>
      <c r="J83">
        <v>2375872</v>
      </c>
      <c r="K83">
        <v>19625632</v>
      </c>
    </row>
    <row r="84" spans="1:11">
      <c r="A84" t="s">
        <v>72</v>
      </c>
      <c r="B84" t="s">
        <v>50</v>
      </c>
      <c r="C84" s="1">
        <v>45601</v>
      </c>
      <c r="D84" t="s">
        <v>79</v>
      </c>
      <c r="E84" t="s">
        <v>9</v>
      </c>
      <c r="F84" t="s">
        <v>151</v>
      </c>
      <c r="G84">
        <v>3928</v>
      </c>
      <c r="H84">
        <v>45372.6</v>
      </c>
      <c r="I84">
        <v>14623938</v>
      </c>
      <c r="J84">
        <v>962979</v>
      </c>
      <c r="K84">
        <v>152681973</v>
      </c>
    </row>
    <row r="85" spans="1:11">
      <c r="A85" t="s">
        <v>72</v>
      </c>
      <c r="B85" t="s">
        <v>66</v>
      </c>
      <c r="C85" s="1">
        <v>45401</v>
      </c>
      <c r="D85" s="2" t="s">
        <v>166</v>
      </c>
      <c r="E85" t="s">
        <v>31</v>
      </c>
      <c r="F85" t="s">
        <v>152</v>
      </c>
      <c r="G85">
        <v>929</v>
      </c>
      <c r="H85">
        <v>17678</v>
      </c>
      <c r="I85">
        <v>4118974</v>
      </c>
      <c r="J85">
        <v>3432767</v>
      </c>
      <c r="K85">
        <v>23974603</v>
      </c>
    </row>
    <row r="86" spans="1:11">
      <c r="A86" t="s">
        <v>72</v>
      </c>
      <c r="B86" t="s">
        <v>56</v>
      </c>
      <c r="C86" s="1">
        <v>45454</v>
      </c>
      <c r="D86" s="2" t="s">
        <v>166</v>
      </c>
      <c r="E86" t="s">
        <v>33</v>
      </c>
      <c r="F86" t="s">
        <v>153</v>
      </c>
      <c r="G86">
        <v>1824</v>
      </c>
      <c r="H86">
        <v>11076</v>
      </c>
      <c r="I86">
        <v>2193048</v>
      </c>
      <c r="J86">
        <v>4584685</v>
      </c>
      <c r="K86">
        <v>26980357</v>
      </c>
    </row>
    <row r="87" spans="1:11">
      <c r="A87" t="s">
        <v>53</v>
      </c>
      <c r="B87" t="s">
        <v>82</v>
      </c>
      <c r="C87" s="1">
        <v>45385</v>
      </c>
      <c r="D87" t="s">
        <v>64</v>
      </c>
      <c r="E87" t="s">
        <v>20</v>
      </c>
      <c r="F87" t="s">
        <v>154</v>
      </c>
      <c r="G87">
        <v>3034</v>
      </c>
      <c r="H87">
        <v>9525</v>
      </c>
      <c r="I87">
        <v>1266825</v>
      </c>
      <c r="J87">
        <v>659581</v>
      </c>
      <c r="K87">
        <v>30825256</v>
      </c>
    </row>
    <row r="88" spans="1:11">
      <c r="A88" t="s">
        <v>75</v>
      </c>
      <c r="B88" t="s">
        <v>84</v>
      </c>
      <c r="C88" s="1">
        <v>45611</v>
      </c>
      <c r="D88" t="s">
        <v>88</v>
      </c>
      <c r="E88" t="s">
        <v>22</v>
      </c>
      <c r="F88" t="s">
        <v>95</v>
      </c>
      <c r="G88">
        <v>798</v>
      </c>
      <c r="H88">
        <v>21248.01</v>
      </c>
      <c r="I88">
        <v>4874352</v>
      </c>
      <c r="J88">
        <v>1012227</v>
      </c>
      <c r="K88">
        <v>16292499</v>
      </c>
    </row>
    <row r="89" spans="1:11">
      <c r="A89" t="s">
        <v>59</v>
      </c>
      <c r="B89" t="s">
        <v>63</v>
      </c>
      <c r="C89" s="1">
        <v>45636</v>
      </c>
      <c r="D89" t="s">
        <v>64</v>
      </c>
      <c r="E89" t="s">
        <v>20</v>
      </c>
      <c r="F89" t="s">
        <v>155</v>
      </c>
      <c r="G89">
        <v>2753</v>
      </c>
      <c r="H89">
        <v>7762</v>
      </c>
      <c r="I89">
        <v>2227694</v>
      </c>
      <c r="J89">
        <v>3105094</v>
      </c>
      <c r="K89">
        <v>26701574</v>
      </c>
    </row>
    <row r="90" spans="1:11">
      <c r="A90" t="s">
        <v>81</v>
      </c>
      <c r="B90" t="s">
        <v>63</v>
      </c>
      <c r="C90" s="1">
        <v>45303</v>
      </c>
      <c r="D90" t="s">
        <v>64</v>
      </c>
      <c r="E90" t="s">
        <v>20</v>
      </c>
      <c r="F90" t="s">
        <v>156</v>
      </c>
      <c r="G90">
        <v>2609</v>
      </c>
      <c r="H90">
        <v>27598</v>
      </c>
      <c r="I90">
        <v>13467824</v>
      </c>
      <c r="J90">
        <v>3310368</v>
      </c>
      <c r="K90">
        <v>88781374</v>
      </c>
    </row>
    <row r="91" spans="1:11">
      <c r="A91" t="s">
        <v>70</v>
      </c>
      <c r="B91" t="s">
        <v>82</v>
      </c>
      <c r="C91" s="1">
        <v>45324</v>
      </c>
      <c r="D91" t="s">
        <v>64</v>
      </c>
      <c r="E91" t="s">
        <v>20</v>
      </c>
      <c r="F91" t="s">
        <v>157</v>
      </c>
      <c r="G91">
        <v>4418</v>
      </c>
      <c r="H91">
        <v>8702</v>
      </c>
      <c r="I91">
        <v>3280654</v>
      </c>
      <c r="J91">
        <v>615109</v>
      </c>
      <c r="K91">
        <v>42341199</v>
      </c>
    </row>
    <row r="92" spans="1:11">
      <c r="A92" t="s">
        <v>59</v>
      </c>
      <c r="B92" t="s">
        <v>56</v>
      </c>
      <c r="C92" s="1">
        <v>45328</v>
      </c>
      <c r="D92" s="2" t="s">
        <v>166</v>
      </c>
      <c r="E92" t="s">
        <v>35</v>
      </c>
      <c r="F92" t="s">
        <v>158</v>
      </c>
      <c r="G92">
        <v>4849</v>
      </c>
      <c r="H92">
        <v>8214</v>
      </c>
      <c r="I92">
        <v>1667442</v>
      </c>
      <c r="J92">
        <v>4255125</v>
      </c>
      <c r="K92">
        <v>45752253</v>
      </c>
    </row>
    <row r="93" spans="1:11">
      <c r="A93" t="s">
        <v>77</v>
      </c>
      <c r="B93" t="s">
        <v>84</v>
      </c>
      <c r="C93" s="1">
        <v>45639</v>
      </c>
      <c r="D93" t="s">
        <v>57</v>
      </c>
      <c r="E93" t="s">
        <v>25</v>
      </c>
      <c r="F93" t="s">
        <v>121</v>
      </c>
      <c r="G93">
        <v>1750</v>
      </c>
      <c r="H93">
        <v>21248.01</v>
      </c>
      <c r="I93">
        <v>4231825</v>
      </c>
      <c r="J93">
        <v>3268157</v>
      </c>
      <c r="K93">
        <v>21531232</v>
      </c>
    </row>
    <row r="94" spans="1:11">
      <c r="A94" t="s">
        <v>75</v>
      </c>
      <c r="B94" t="s">
        <v>66</v>
      </c>
      <c r="C94" s="1">
        <v>45425</v>
      </c>
      <c r="D94" s="2" t="s">
        <v>166</v>
      </c>
      <c r="E94" t="s">
        <v>28</v>
      </c>
      <c r="F94" t="s">
        <v>159</v>
      </c>
      <c r="G94">
        <v>4279.8</v>
      </c>
      <c r="H94">
        <v>18095</v>
      </c>
      <c r="I94">
        <v>4089470</v>
      </c>
      <c r="J94">
        <v>1719569</v>
      </c>
      <c r="K94">
        <v>61125454</v>
      </c>
    </row>
    <row r="95" spans="1:11">
      <c r="A95" t="s">
        <v>70</v>
      </c>
      <c r="B95" t="s">
        <v>66</v>
      </c>
      <c r="C95" s="1">
        <v>45481</v>
      </c>
      <c r="D95" s="2" t="s">
        <v>166</v>
      </c>
      <c r="E95" t="s">
        <v>17</v>
      </c>
      <c r="F95" t="s">
        <v>160</v>
      </c>
      <c r="G95">
        <v>3586</v>
      </c>
      <c r="H95">
        <v>38295</v>
      </c>
      <c r="I95">
        <v>5476185</v>
      </c>
      <c r="J95">
        <v>887815</v>
      </c>
      <c r="K95">
        <v>143689870</v>
      </c>
    </row>
    <row r="96" spans="1:11">
      <c r="A96" t="s">
        <v>77</v>
      </c>
      <c r="B96" t="s">
        <v>60</v>
      </c>
      <c r="C96" s="1">
        <v>45632</v>
      </c>
      <c r="D96" s="2" t="s">
        <v>166</v>
      </c>
      <c r="E96" t="s">
        <v>17</v>
      </c>
      <c r="F96" t="s">
        <v>161</v>
      </c>
      <c r="G96">
        <v>3782</v>
      </c>
      <c r="H96">
        <v>39893</v>
      </c>
      <c r="I96">
        <v>6263201</v>
      </c>
      <c r="J96">
        <v>6333350</v>
      </c>
      <c r="K96">
        <v>158405197</v>
      </c>
    </row>
    <row r="97" spans="1:11">
      <c r="A97" t="s">
        <v>70</v>
      </c>
      <c r="B97" t="s">
        <v>56</v>
      </c>
      <c r="C97" s="1">
        <v>45507</v>
      </c>
      <c r="D97" t="s">
        <v>88</v>
      </c>
      <c r="E97" t="s">
        <v>22</v>
      </c>
      <c r="F97" t="s">
        <v>162</v>
      </c>
      <c r="G97">
        <v>4834.2</v>
      </c>
      <c r="H97">
        <v>14283</v>
      </c>
      <c r="I97">
        <v>5356125</v>
      </c>
      <c r="J97">
        <v>1549672</v>
      </c>
      <c r="K97">
        <v>56224996</v>
      </c>
    </row>
    <row r="98" spans="1:11">
      <c r="A98" t="s">
        <v>70</v>
      </c>
      <c r="B98" t="s">
        <v>50</v>
      </c>
      <c r="C98" s="1">
        <v>45353</v>
      </c>
      <c r="D98" s="2" t="s">
        <v>166</v>
      </c>
      <c r="E98" t="s">
        <v>33</v>
      </c>
      <c r="F98" t="s">
        <v>163</v>
      </c>
      <c r="G98">
        <v>4286</v>
      </c>
      <c r="H98">
        <v>8925</v>
      </c>
      <c r="I98">
        <v>2722125</v>
      </c>
      <c r="J98">
        <v>896661</v>
      </c>
      <c r="K98">
        <v>41871336</v>
      </c>
    </row>
    <row r="99" spans="1:11">
      <c r="A99" t="s">
        <v>62</v>
      </c>
      <c r="B99" t="s">
        <v>54</v>
      </c>
      <c r="C99" s="1">
        <v>45427</v>
      </c>
      <c r="D99" t="s">
        <v>64</v>
      </c>
      <c r="E99" t="s">
        <v>20</v>
      </c>
      <c r="F99" t="s">
        <v>164</v>
      </c>
      <c r="G99">
        <v>6972</v>
      </c>
      <c r="H99">
        <v>4885</v>
      </c>
      <c r="I99">
        <v>1734175</v>
      </c>
      <c r="J99">
        <v>4292613</v>
      </c>
      <c r="K99">
        <v>23891233</v>
      </c>
    </row>
    <row r="100" spans="1:11">
      <c r="A100" t="s">
        <v>62</v>
      </c>
      <c r="B100" t="s">
        <v>63</v>
      </c>
      <c r="C100" s="1">
        <v>45647</v>
      </c>
      <c r="D100" s="2" t="s">
        <v>166</v>
      </c>
      <c r="E100" t="s">
        <v>13</v>
      </c>
      <c r="F100" t="s">
        <v>122</v>
      </c>
      <c r="G100">
        <v>4529</v>
      </c>
      <c r="H100">
        <v>4425</v>
      </c>
      <c r="I100">
        <v>584100</v>
      </c>
      <c r="J100">
        <v>2385440</v>
      </c>
      <c r="K100">
        <v>23010365</v>
      </c>
    </row>
    <row r="101" spans="1:11">
      <c r="A101" t="s">
        <v>53</v>
      </c>
      <c r="B101" t="s">
        <v>60</v>
      </c>
      <c r="C101" s="1">
        <v>45499</v>
      </c>
      <c r="D101" s="2" t="s">
        <v>166</v>
      </c>
      <c r="E101" t="s">
        <v>17</v>
      </c>
      <c r="F101" t="s">
        <v>165</v>
      </c>
      <c r="G101">
        <v>726</v>
      </c>
      <c r="H101">
        <v>37105</v>
      </c>
      <c r="I101">
        <v>14545160</v>
      </c>
      <c r="J101">
        <v>835232</v>
      </c>
      <c r="K101">
        <v>42318622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A0426-BD80-4F02-973F-43100F12557B}">
  <dimension ref="A1:I19"/>
  <sheetViews>
    <sheetView zoomScale="74" workbookViewId="0">
      <selection sqref="A1:I11"/>
    </sheetView>
  </sheetViews>
  <sheetFormatPr defaultRowHeight="14.4"/>
  <cols>
    <col min="1" max="1" width="19.21875" customWidth="1"/>
    <col min="2" max="2" width="25.109375" customWidth="1"/>
    <col min="3" max="3" width="23.109375" bestFit="1" customWidth="1"/>
    <col min="4" max="4" width="30.5546875" bestFit="1" customWidth="1"/>
    <col min="5" max="5" width="34.33203125" bestFit="1" customWidth="1"/>
    <col min="6" max="6" width="27.44140625" bestFit="1" customWidth="1"/>
    <col min="7" max="7" width="41" bestFit="1" customWidth="1"/>
    <col min="8" max="8" width="19.44140625" customWidth="1"/>
    <col min="9" max="9" width="47.109375" bestFit="1" customWidth="1"/>
  </cols>
  <sheetData>
    <row r="1" spans="1:9">
      <c r="A1" t="s">
        <v>0</v>
      </c>
      <c r="B1" t="s">
        <v>1</v>
      </c>
      <c r="C1" t="s">
        <v>2</v>
      </c>
      <c r="D1" t="s">
        <v>3</v>
      </c>
      <c r="E1" t="s">
        <v>4</v>
      </c>
      <c r="F1" t="s">
        <v>5</v>
      </c>
      <c r="G1" t="s">
        <v>6</v>
      </c>
      <c r="H1" t="s">
        <v>7</v>
      </c>
      <c r="I1" t="s">
        <v>8</v>
      </c>
    </row>
    <row r="2" spans="1:9">
      <c r="A2" t="s">
        <v>9</v>
      </c>
      <c r="B2" t="s">
        <v>10</v>
      </c>
      <c r="C2">
        <v>2027</v>
      </c>
      <c r="D2">
        <v>33738</v>
      </c>
      <c r="E2">
        <v>46</v>
      </c>
      <c r="F2">
        <v>116</v>
      </c>
      <c r="G2">
        <v>22334556</v>
      </c>
      <c r="H2" t="s">
        <v>11</v>
      </c>
      <c r="I2" t="s">
        <v>12</v>
      </c>
    </row>
    <row r="3" spans="1:9">
      <c r="A3" t="s">
        <v>13</v>
      </c>
      <c r="B3" t="s">
        <v>14</v>
      </c>
      <c r="C3">
        <v>1573</v>
      </c>
      <c r="D3">
        <v>35223</v>
      </c>
      <c r="E3">
        <v>34</v>
      </c>
      <c r="F3">
        <v>430</v>
      </c>
      <c r="G3">
        <v>25360560</v>
      </c>
      <c r="H3" t="s">
        <v>15</v>
      </c>
      <c r="I3" t="s">
        <v>16</v>
      </c>
    </row>
    <row r="4" spans="1:9">
      <c r="A4" t="s">
        <v>17</v>
      </c>
      <c r="B4" t="s">
        <v>18</v>
      </c>
      <c r="C4">
        <v>1025</v>
      </c>
      <c r="D4">
        <v>11057</v>
      </c>
      <c r="E4">
        <v>12</v>
      </c>
      <c r="F4">
        <v>371</v>
      </c>
      <c r="G4">
        <v>7983154</v>
      </c>
      <c r="H4" t="s">
        <v>15</v>
      </c>
      <c r="I4" t="s">
        <v>19</v>
      </c>
    </row>
    <row r="5" spans="1:9">
      <c r="A5" t="s">
        <v>20</v>
      </c>
      <c r="B5" t="s">
        <v>18</v>
      </c>
      <c r="C5">
        <v>2437</v>
      </c>
      <c r="D5">
        <v>25729</v>
      </c>
      <c r="E5">
        <v>30</v>
      </c>
      <c r="F5">
        <v>584</v>
      </c>
      <c r="G5">
        <v>18730712</v>
      </c>
      <c r="H5" t="s">
        <v>11</v>
      </c>
      <c r="I5" t="s">
        <v>21</v>
      </c>
    </row>
    <row r="6" spans="1:9">
      <c r="A6" t="s">
        <v>22</v>
      </c>
      <c r="B6" t="s">
        <v>23</v>
      </c>
      <c r="C6">
        <v>3436</v>
      </c>
      <c r="D6">
        <v>18609</v>
      </c>
      <c r="E6">
        <v>55</v>
      </c>
      <c r="F6">
        <v>736</v>
      </c>
      <c r="G6">
        <v>4856949</v>
      </c>
      <c r="H6" t="s">
        <v>11</v>
      </c>
      <c r="I6" t="s">
        <v>24</v>
      </c>
    </row>
    <row r="7" spans="1:9">
      <c r="A7" t="s">
        <v>25</v>
      </c>
      <c r="B7" t="s">
        <v>26</v>
      </c>
      <c r="C7">
        <v>992</v>
      </c>
      <c r="D7" s="3">
        <v>21632.555560000001</v>
      </c>
      <c r="E7">
        <v>30</v>
      </c>
      <c r="F7">
        <v>81</v>
      </c>
      <c r="G7">
        <v>8678356</v>
      </c>
      <c r="H7" t="s">
        <v>11</v>
      </c>
      <c r="I7" t="s">
        <v>27</v>
      </c>
    </row>
    <row r="8" spans="1:9">
      <c r="A8" t="s">
        <v>28</v>
      </c>
      <c r="B8" t="s">
        <v>29</v>
      </c>
      <c r="C8">
        <v>1431</v>
      </c>
      <c r="D8">
        <v>19089</v>
      </c>
      <c r="E8">
        <v>32</v>
      </c>
      <c r="F8">
        <v>429</v>
      </c>
      <c r="G8">
        <v>10193526</v>
      </c>
      <c r="H8" t="s">
        <v>15</v>
      </c>
      <c r="I8" t="s">
        <v>30</v>
      </c>
    </row>
    <row r="9" spans="1:9">
      <c r="A9" t="s">
        <v>31</v>
      </c>
      <c r="B9" t="s">
        <v>29</v>
      </c>
      <c r="C9">
        <v>2499</v>
      </c>
      <c r="D9">
        <v>11603</v>
      </c>
      <c r="E9">
        <v>43</v>
      </c>
      <c r="F9">
        <v>298</v>
      </c>
      <c r="G9">
        <v>6462871</v>
      </c>
      <c r="H9" t="s">
        <v>15</v>
      </c>
      <c r="I9" t="s">
        <v>32</v>
      </c>
    </row>
    <row r="10" spans="1:9">
      <c r="A10" t="s">
        <v>33</v>
      </c>
      <c r="B10" t="s">
        <v>18</v>
      </c>
      <c r="C10">
        <v>3351</v>
      </c>
      <c r="D10">
        <v>36448</v>
      </c>
      <c r="E10">
        <v>33</v>
      </c>
      <c r="F10">
        <v>483</v>
      </c>
      <c r="G10">
        <v>20228640</v>
      </c>
      <c r="H10" t="s">
        <v>15</v>
      </c>
      <c r="I10" t="s">
        <v>34</v>
      </c>
    </row>
    <row r="11" spans="1:9">
      <c r="A11" t="s">
        <v>35</v>
      </c>
      <c r="B11" t="s">
        <v>36</v>
      </c>
      <c r="C11">
        <v>3326</v>
      </c>
      <c r="D11">
        <v>3197</v>
      </c>
      <c r="E11">
        <v>23</v>
      </c>
      <c r="F11">
        <v>271</v>
      </c>
      <c r="G11">
        <v>792856</v>
      </c>
      <c r="H11" t="s">
        <v>15</v>
      </c>
      <c r="I11" t="s">
        <v>37</v>
      </c>
    </row>
    <row r="14" spans="1:9">
      <c r="C14" s="7" t="s">
        <v>173</v>
      </c>
      <c r="D14" s="7" t="s">
        <v>173</v>
      </c>
      <c r="E14" s="7" t="s">
        <v>173</v>
      </c>
      <c r="F14" s="7" t="s">
        <v>173</v>
      </c>
      <c r="G14" s="7" t="s">
        <v>173</v>
      </c>
    </row>
    <row r="15" spans="1:9">
      <c r="C15">
        <f>_xlfn.QUARTILE.INC($C$2:$C$11,1)</f>
        <v>1466.5</v>
      </c>
      <c r="D15">
        <f>_xlfn.QUARTILE.INC($D$2:$D$11,1)</f>
        <v>13354.5</v>
      </c>
      <c r="E15">
        <f>_xlfn.QUARTILE.INC($E$2:$E$11,1)</f>
        <v>30</v>
      </c>
      <c r="F15">
        <f>_xlfn.QUARTILE.INC($F$2:$F$11,1)</f>
        <v>277.75</v>
      </c>
      <c r="G15">
        <f>_xlfn.QUARTILE.INC($G$2:$G$11,1)</f>
        <v>6842941.75</v>
      </c>
    </row>
    <row r="16" spans="1:9">
      <c r="C16">
        <f>_xlfn.QUARTILE.INC($C$2:$C$11,3)</f>
        <v>3119.25</v>
      </c>
      <c r="D16">
        <f>_xlfn.QUARTILE.INC($D$2:$D$11,3)</f>
        <v>31735.75</v>
      </c>
      <c r="E16">
        <f>_xlfn.QUARTILE.INC($E$2:$E$11,3)</f>
        <v>40.75</v>
      </c>
      <c r="F16">
        <f>_xlfn.QUARTILE.INC($F$2:$F$11,3)</f>
        <v>469.75</v>
      </c>
      <c r="G16">
        <f>_xlfn.QUARTILE.INC($G$2:$G$11,3)</f>
        <v>19854158</v>
      </c>
    </row>
    <row r="17" spans="3:7">
      <c r="C17">
        <f>C16-C15</f>
        <v>1652.75</v>
      </c>
      <c r="D17">
        <f>D16-D15</f>
        <v>18381.25</v>
      </c>
      <c r="E17">
        <f>E16-E15</f>
        <v>10.75</v>
      </c>
      <c r="F17">
        <f>F16-F15</f>
        <v>192</v>
      </c>
      <c r="G17">
        <f>G16-G15</f>
        <v>13011216.25</v>
      </c>
    </row>
    <row r="18" spans="3:7">
      <c r="C18">
        <f>C15-(1.5*C17)</f>
        <v>-1012.625</v>
      </c>
      <c r="D18">
        <f>D15-(1.5*D17)</f>
        <v>-14217.375</v>
      </c>
      <c r="E18">
        <f>E15-(1.5*E17)</f>
        <v>13.875</v>
      </c>
      <c r="F18">
        <f>F15-(1.5*F17)</f>
        <v>-10.25</v>
      </c>
      <c r="G18">
        <f>G15-(1.5*G17)</f>
        <v>-12673882.625</v>
      </c>
    </row>
    <row r="19" spans="3:7">
      <c r="C19">
        <f>C16+(1.5*C17)</f>
        <v>5598.375</v>
      </c>
      <c r="D19">
        <f>D16+(1.5*D17)</f>
        <v>59307.625</v>
      </c>
      <c r="E19">
        <f>E16+(1.5*E17)</f>
        <v>56.875</v>
      </c>
      <c r="F19">
        <f>F16+(1.5*F17)</f>
        <v>757.75</v>
      </c>
      <c r="G19">
        <f>G16+(1.5*G17)</f>
        <v>39370982.375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301FF-081D-4BFA-8DD8-E94236AC65DE}">
  <dimension ref="A1:I11"/>
  <sheetViews>
    <sheetView tabSelected="1" zoomScale="84" workbookViewId="0">
      <selection activeCell="D17" sqref="D17"/>
    </sheetView>
  </sheetViews>
  <sheetFormatPr defaultRowHeight="14.4"/>
  <cols>
    <col min="1" max="1" width="13.6640625" bestFit="1" customWidth="1"/>
    <col min="2" max="2" width="17.5546875" bestFit="1" customWidth="1"/>
    <col min="3" max="3" width="21.44140625" bestFit="1" customWidth="1"/>
    <col min="4" max="4" width="29.33203125" bestFit="1" customWidth="1"/>
    <col min="5" max="5" width="32.109375" bestFit="1" customWidth="1"/>
    <col min="6" max="6" width="25.6640625" bestFit="1" customWidth="1"/>
    <col min="7" max="7" width="38.109375" bestFit="1" customWidth="1"/>
    <col min="8" max="8" width="14" bestFit="1" customWidth="1"/>
    <col min="9" max="9" width="45.21875" bestFit="1" customWidth="1"/>
  </cols>
  <sheetData>
    <row r="1" spans="1:9">
      <c r="A1" t="s">
        <v>0</v>
      </c>
      <c r="B1" t="s">
        <v>1</v>
      </c>
      <c r="C1" t="s">
        <v>2</v>
      </c>
      <c r="D1" t="s">
        <v>3</v>
      </c>
      <c r="E1" t="s">
        <v>4</v>
      </c>
      <c r="F1" t="s">
        <v>5</v>
      </c>
      <c r="G1" t="s">
        <v>6</v>
      </c>
      <c r="H1" t="s">
        <v>7</v>
      </c>
      <c r="I1" t="s">
        <v>8</v>
      </c>
    </row>
    <row r="2" spans="1:9">
      <c r="A2" t="s">
        <v>9</v>
      </c>
      <c r="B2" t="s">
        <v>10</v>
      </c>
      <c r="C2">
        <v>2027</v>
      </c>
      <c r="D2">
        <v>33738</v>
      </c>
      <c r="E2">
        <v>46</v>
      </c>
      <c r="F2">
        <v>116</v>
      </c>
      <c r="G2">
        <v>22334556</v>
      </c>
      <c r="H2" t="s">
        <v>11</v>
      </c>
      <c r="I2" t="s">
        <v>12</v>
      </c>
    </row>
    <row r="3" spans="1:9">
      <c r="A3" t="s">
        <v>13</v>
      </c>
      <c r="B3" t="s">
        <v>14</v>
      </c>
      <c r="C3">
        <v>1573</v>
      </c>
      <c r="D3">
        <v>35223</v>
      </c>
      <c r="E3">
        <v>34</v>
      </c>
      <c r="F3">
        <v>430</v>
      </c>
      <c r="G3">
        <v>25360560</v>
      </c>
      <c r="H3" t="s">
        <v>15</v>
      </c>
      <c r="I3" t="s">
        <v>16</v>
      </c>
    </row>
    <row r="4" spans="1:9">
      <c r="A4" t="s">
        <v>17</v>
      </c>
      <c r="B4" t="s">
        <v>18</v>
      </c>
      <c r="C4">
        <v>1025</v>
      </c>
      <c r="D4">
        <v>11057</v>
      </c>
      <c r="E4">
        <v>12</v>
      </c>
      <c r="F4">
        <v>371</v>
      </c>
      <c r="G4">
        <v>7983154</v>
      </c>
      <c r="H4" t="s">
        <v>15</v>
      </c>
      <c r="I4" t="s">
        <v>19</v>
      </c>
    </row>
    <row r="5" spans="1:9">
      <c r="A5" t="s">
        <v>20</v>
      </c>
      <c r="B5" t="s">
        <v>18</v>
      </c>
      <c r="C5">
        <v>2437</v>
      </c>
      <c r="D5">
        <v>25729</v>
      </c>
      <c r="E5">
        <v>30</v>
      </c>
      <c r="F5">
        <v>584</v>
      </c>
      <c r="G5">
        <v>18730712</v>
      </c>
      <c r="H5" t="s">
        <v>11</v>
      </c>
      <c r="I5" t="s">
        <v>21</v>
      </c>
    </row>
    <row r="6" spans="1:9">
      <c r="A6" t="s">
        <v>22</v>
      </c>
      <c r="B6" t="s">
        <v>23</v>
      </c>
      <c r="C6">
        <v>3436</v>
      </c>
      <c r="D6">
        <v>18609</v>
      </c>
      <c r="E6">
        <v>55</v>
      </c>
      <c r="F6">
        <v>736</v>
      </c>
      <c r="G6">
        <v>4856949</v>
      </c>
      <c r="H6" t="s">
        <v>11</v>
      </c>
      <c r="I6" t="s">
        <v>24</v>
      </c>
    </row>
    <row r="7" spans="1:9">
      <c r="A7" t="s">
        <v>25</v>
      </c>
      <c r="B7" t="s">
        <v>26</v>
      </c>
      <c r="C7">
        <v>992</v>
      </c>
      <c r="D7" s="3">
        <v>21632.555560000001</v>
      </c>
      <c r="E7">
        <v>30</v>
      </c>
      <c r="F7">
        <v>81</v>
      </c>
      <c r="G7">
        <v>8678356</v>
      </c>
      <c r="H7" t="s">
        <v>11</v>
      </c>
      <c r="I7" t="s">
        <v>27</v>
      </c>
    </row>
    <row r="8" spans="1:9">
      <c r="A8" t="s">
        <v>28</v>
      </c>
      <c r="B8" t="s">
        <v>29</v>
      </c>
      <c r="C8">
        <v>1431</v>
      </c>
      <c r="D8">
        <v>19089</v>
      </c>
      <c r="E8">
        <v>32</v>
      </c>
      <c r="F8">
        <v>429</v>
      </c>
      <c r="G8">
        <v>10193526</v>
      </c>
      <c r="H8" t="s">
        <v>15</v>
      </c>
      <c r="I8" t="s">
        <v>30</v>
      </c>
    </row>
    <row r="9" spans="1:9">
      <c r="A9" t="s">
        <v>31</v>
      </c>
      <c r="B9" t="s">
        <v>29</v>
      </c>
      <c r="C9">
        <v>2499</v>
      </c>
      <c r="D9">
        <v>11603</v>
      </c>
      <c r="E9">
        <v>43</v>
      </c>
      <c r="F9">
        <v>298</v>
      </c>
      <c r="G9">
        <v>6462871</v>
      </c>
      <c r="H9" t="s">
        <v>15</v>
      </c>
      <c r="I9" t="s">
        <v>32</v>
      </c>
    </row>
    <row r="10" spans="1:9">
      <c r="A10" t="s">
        <v>33</v>
      </c>
      <c r="B10" t="s">
        <v>18</v>
      </c>
      <c r="C10">
        <v>3351</v>
      </c>
      <c r="D10">
        <v>36448</v>
      </c>
      <c r="E10">
        <v>33</v>
      </c>
      <c r="F10">
        <v>483</v>
      </c>
      <c r="G10">
        <v>20228640</v>
      </c>
      <c r="H10" t="s">
        <v>15</v>
      </c>
      <c r="I10" t="s">
        <v>34</v>
      </c>
    </row>
    <row r="11" spans="1:9">
      <c r="A11" t="s">
        <v>35</v>
      </c>
      <c r="B11" t="s">
        <v>36</v>
      </c>
      <c r="C11">
        <v>3326</v>
      </c>
      <c r="D11">
        <v>3197</v>
      </c>
      <c r="E11">
        <v>23</v>
      </c>
      <c r="F11">
        <v>271</v>
      </c>
      <c r="G11">
        <v>792856</v>
      </c>
      <c r="H11" t="s">
        <v>15</v>
      </c>
      <c r="I11" t="s">
        <v>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EB234-C56F-4BFB-BDF3-CE82436C1079}">
  <dimension ref="A1:J101"/>
  <sheetViews>
    <sheetView zoomScale="83" workbookViewId="0">
      <selection activeCell="U27" sqref="U27"/>
    </sheetView>
  </sheetViews>
  <sheetFormatPr defaultRowHeight="14.4"/>
  <cols>
    <col min="2" max="2" width="15.109375" bestFit="1" customWidth="1"/>
    <col min="5" max="5" width="15.109375" bestFit="1" customWidth="1"/>
    <col min="6" max="6" width="12.77734375" bestFit="1" customWidth="1"/>
    <col min="10" max="10" width="11.33203125" bestFit="1" customWidth="1"/>
  </cols>
  <sheetData>
    <row r="1" spans="1:10">
      <c r="A1" s="4" t="s">
        <v>174</v>
      </c>
      <c r="B1" s="4" t="s">
        <v>175</v>
      </c>
      <c r="D1" s="4" t="s">
        <v>176</v>
      </c>
      <c r="E1" s="4" t="s">
        <v>175</v>
      </c>
      <c r="F1" s="4" t="s">
        <v>178</v>
      </c>
      <c r="J1" s="4" t="s">
        <v>177</v>
      </c>
    </row>
    <row r="2" spans="1:10">
      <c r="A2" t="str">
        <f>TEXT(Festival_Data_Clean!C2,"mmmm")</f>
        <v>January</v>
      </c>
      <c r="B2">
        <f>SUMIF(A$2:A$101,A2,Festival_Data_Clean!H$2:H$101)</f>
        <v>183383.5</v>
      </c>
      <c r="D2" t="str" cm="1">
        <f t="array" ref="D2:D13">_xlfn.UNIQUE(A2:A101)</f>
        <v>January</v>
      </c>
      <c r="E2" cm="1">
        <f t="array" ref="E2:E13">_xlfn.UNIQUE(B2:B101)</f>
        <v>183383.5</v>
      </c>
      <c r="F2">
        <f>COUNTIF($A$2:$A$101,D2)</f>
        <v>9</v>
      </c>
      <c r="J2">
        <f>MAX(E2:E13)</f>
        <v>288400.90000000002</v>
      </c>
    </row>
    <row r="3" spans="1:10">
      <c r="A3" t="str">
        <f>TEXT(Festival_Data_Clean!C3,"mmmm")</f>
        <v>April</v>
      </c>
      <c r="B3">
        <f>SUMIF(A$2:A$101,A3,Festival_Data_Clean!H$2:H$101)</f>
        <v>185700.6</v>
      </c>
      <c r="D3" t="str">
        <v>April</v>
      </c>
      <c r="E3">
        <v>185700.6</v>
      </c>
      <c r="F3">
        <f t="shared" ref="F3:F13" si="0">COUNTIF($A$2:$A$101,D3)</f>
        <v>9</v>
      </c>
    </row>
    <row r="4" spans="1:10">
      <c r="A4" t="str">
        <f>TEXT(Festival_Data_Clean!C4,"mmmm")</f>
        <v>September</v>
      </c>
      <c r="B4">
        <f>SUMIF(A$2:A$101,A4,Festival_Data_Clean!H$2:H$101)</f>
        <v>142573</v>
      </c>
      <c r="D4" t="str">
        <v>September</v>
      </c>
      <c r="E4">
        <v>142573</v>
      </c>
      <c r="F4">
        <f t="shared" si="0"/>
        <v>6</v>
      </c>
    </row>
    <row r="5" spans="1:10">
      <c r="A5" t="str">
        <f>TEXT(Festival_Data_Clean!C5,"mmmm")</f>
        <v>March</v>
      </c>
      <c r="B5">
        <f>SUMIF(A$2:A$101,A5,Festival_Data_Clean!H$2:H$101)</f>
        <v>99290.7</v>
      </c>
      <c r="D5" t="str">
        <v>March</v>
      </c>
      <c r="E5">
        <v>99290.7</v>
      </c>
      <c r="F5">
        <f t="shared" si="0"/>
        <v>7</v>
      </c>
    </row>
    <row r="6" spans="1:10">
      <c r="A6" t="str">
        <f>TEXT(Festival_Data_Clean!C6,"mmmm")</f>
        <v>June</v>
      </c>
      <c r="B6">
        <f>SUMIF(A$2:A$101,A6,Festival_Data_Clean!H$2:H$101)</f>
        <v>216292.12000000002</v>
      </c>
      <c r="D6" t="str">
        <v>June</v>
      </c>
      <c r="E6">
        <v>216292.12000000002</v>
      </c>
      <c r="F6">
        <f t="shared" si="0"/>
        <v>10</v>
      </c>
    </row>
    <row r="7" spans="1:10">
      <c r="A7" t="str">
        <f>TEXT(Festival_Data_Clean!C7,"mmmm")</f>
        <v>May</v>
      </c>
      <c r="B7">
        <f>SUMIF(A$2:A$101,A7,Festival_Data_Clean!H$2:H$101)</f>
        <v>206816.01</v>
      </c>
      <c r="D7" t="str">
        <v>May</v>
      </c>
      <c r="E7">
        <v>206816.01</v>
      </c>
      <c r="F7">
        <f t="shared" si="0"/>
        <v>11</v>
      </c>
    </row>
    <row r="8" spans="1:10">
      <c r="A8" t="str">
        <f>TEXT(Festival_Data_Clean!C8,"mmmm")</f>
        <v>March</v>
      </c>
      <c r="B8">
        <f>SUMIF(A$2:A$101,A8,Festival_Data_Clean!H$2:H$101)</f>
        <v>99290.7</v>
      </c>
      <c r="D8" t="str">
        <v>December</v>
      </c>
      <c r="E8">
        <v>261513.71000000002</v>
      </c>
      <c r="F8">
        <f t="shared" si="0"/>
        <v>12</v>
      </c>
    </row>
    <row r="9" spans="1:10">
      <c r="A9" t="str">
        <f>TEXT(Festival_Data_Clean!C9,"mmmm")</f>
        <v>June</v>
      </c>
      <c r="B9">
        <f>SUMIF(A$2:A$101,A9,Festival_Data_Clean!H$2:H$101)</f>
        <v>216292.12000000002</v>
      </c>
      <c r="D9" t="str">
        <v>February</v>
      </c>
      <c r="E9">
        <v>154615.29999999999</v>
      </c>
      <c r="F9">
        <f t="shared" si="0"/>
        <v>8</v>
      </c>
    </row>
    <row r="10" spans="1:10">
      <c r="A10" t="str">
        <f>TEXT(Festival_Data_Clean!C10,"mmmm")</f>
        <v>May</v>
      </c>
      <c r="B10">
        <f>SUMIF(A$2:A$101,A10,Festival_Data_Clean!H$2:H$101)</f>
        <v>206816.01</v>
      </c>
      <c r="D10" t="str">
        <v>October</v>
      </c>
      <c r="E10">
        <v>29962.6</v>
      </c>
      <c r="F10">
        <f t="shared" si="0"/>
        <v>3</v>
      </c>
    </row>
    <row r="11" spans="1:10">
      <c r="A11" t="str">
        <f>TEXT(Festival_Data_Clean!C11,"mmmm")</f>
        <v>January</v>
      </c>
      <c r="B11">
        <f>SUMIF(A$2:A$101,A11,Festival_Data_Clean!H$2:H$101)</f>
        <v>183383.5</v>
      </c>
      <c r="D11" t="str">
        <v>August</v>
      </c>
      <c r="E11">
        <v>288400.90000000002</v>
      </c>
      <c r="F11">
        <f t="shared" si="0"/>
        <v>12</v>
      </c>
    </row>
    <row r="12" spans="1:10">
      <c r="A12" t="str">
        <f>TEXT(Festival_Data_Clean!C12,"mmmm")</f>
        <v>June</v>
      </c>
      <c r="B12">
        <f>SUMIF(A$2:A$101,A12,Festival_Data_Clean!H$2:H$101)</f>
        <v>216292.12000000002</v>
      </c>
      <c r="D12" t="str">
        <v>July</v>
      </c>
      <c r="E12">
        <v>158221.6</v>
      </c>
      <c r="F12">
        <f t="shared" si="0"/>
        <v>6</v>
      </c>
    </row>
    <row r="13" spans="1:10">
      <c r="A13" t="str">
        <f>TEXT(Festival_Data_Clean!C13,"mmmm")</f>
        <v>December</v>
      </c>
      <c r="B13">
        <f>SUMIF(A$2:A$101,A13,Festival_Data_Clean!H$2:H$101)</f>
        <v>261513.71000000002</v>
      </c>
      <c r="D13" t="str">
        <v>November</v>
      </c>
      <c r="E13">
        <v>210541.82000000004</v>
      </c>
      <c r="F13">
        <f t="shared" si="0"/>
        <v>7</v>
      </c>
    </row>
    <row r="14" spans="1:10">
      <c r="A14" t="str">
        <f>TEXT(Festival_Data_Clean!C14,"mmmm")</f>
        <v>May</v>
      </c>
      <c r="B14">
        <f>SUMIF(A$2:A$101,A14,Festival_Data_Clean!H$2:H$101)</f>
        <v>206816.01</v>
      </c>
    </row>
    <row r="15" spans="1:10">
      <c r="A15" t="str">
        <f>TEXT(Festival_Data_Clean!C15,"mmmm")</f>
        <v>December</v>
      </c>
      <c r="B15">
        <f>SUMIF(A$2:A$101,A15,Festival_Data_Clean!H$2:H$101)</f>
        <v>261513.71000000002</v>
      </c>
    </row>
    <row r="16" spans="1:10">
      <c r="A16" t="str">
        <f>TEXT(Festival_Data_Clean!C16,"mmmm")</f>
        <v>February</v>
      </c>
      <c r="B16">
        <f>SUMIF(A$2:A$101,A16,Festival_Data_Clean!H$2:H$101)</f>
        <v>154615.29999999999</v>
      </c>
    </row>
    <row r="17" spans="1:2">
      <c r="A17" t="str">
        <f>TEXT(Festival_Data_Clean!C17,"mmmm")</f>
        <v>October</v>
      </c>
      <c r="B17">
        <f>SUMIF(A$2:A$101,A17,Festival_Data_Clean!H$2:H$101)</f>
        <v>29962.6</v>
      </c>
    </row>
    <row r="18" spans="1:2">
      <c r="A18" t="str">
        <f>TEXT(Festival_Data_Clean!C18,"mmmm")</f>
        <v>June</v>
      </c>
      <c r="B18">
        <f>SUMIF(A$2:A$101,A18,Festival_Data_Clean!H$2:H$101)</f>
        <v>216292.12000000002</v>
      </c>
    </row>
    <row r="19" spans="1:2">
      <c r="A19" t="str">
        <f>TEXT(Festival_Data_Clean!C19,"mmmm")</f>
        <v>April</v>
      </c>
      <c r="B19">
        <f>SUMIF(A$2:A$101,A19,Festival_Data_Clean!H$2:H$101)</f>
        <v>185700.6</v>
      </c>
    </row>
    <row r="20" spans="1:2">
      <c r="A20" t="str">
        <f>TEXT(Festival_Data_Clean!C20,"mmmm")</f>
        <v>August</v>
      </c>
      <c r="B20">
        <f>SUMIF(A$2:A$101,A20,Festival_Data_Clean!H$2:H$101)</f>
        <v>288400.90000000002</v>
      </c>
    </row>
    <row r="21" spans="1:2">
      <c r="A21" t="str">
        <f>TEXT(Festival_Data_Clean!C21,"mmmm")</f>
        <v>December</v>
      </c>
      <c r="B21">
        <f>SUMIF(A$2:A$101,A21,Festival_Data_Clean!H$2:H$101)</f>
        <v>261513.71000000002</v>
      </c>
    </row>
    <row r="22" spans="1:2">
      <c r="A22" t="str">
        <f>TEXT(Festival_Data_Clean!C22,"mmmm")</f>
        <v>June</v>
      </c>
      <c r="B22">
        <f>SUMIF(A$2:A$101,A22,Festival_Data_Clean!H$2:H$101)</f>
        <v>216292.12000000002</v>
      </c>
    </row>
    <row r="23" spans="1:2">
      <c r="A23" t="str">
        <f>TEXT(Festival_Data_Clean!C23,"mmmm")</f>
        <v>May</v>
      </c>
      <c r="B23">
        <f>SUMIF(A$2:A$101,A23,Festival_Data_Clean!H$2:H$101)</f>
        <v>206816.01</v>
      </c>
    </row>
    <row r="24" spans="1:2">
      <c r="A24" t="str">
        <f>TEXT(Festival_Data_Clean!C24,"mmmm")</f>
        <v>July</v>
      </c>
      <c r="B24">
        <f>SUMIF(A$2:A$101,A24,Festival_Data_Clean!H$2:H$101)</f>
        <v>158221.6</v>
      </c>
    </row>
    <row r="25" spans="1:2">
      <c r="A25" t="str">
        <f>TEXT(Festival_Data_Clean!C25,"mmmm")</f>
        <v>January</v>
      </c>
      <c r="B25">
        <f>SUMIF(A$2:A$101,A25,Festival_Data_Clean!H$2:H$101)</f>
        <v>183383.5</v>
      </c>
    </row>
    <row r="26" spans="1:2">
      <c r="A26" t="str">
        <f>TEXT(Festival_Data_Clean!C26,"mmmm")</f>
        <v>May</v>
      </c>
      <c r="B26">
        <f>SUMIF(A$2:A$101,A26,Festival_Data_Clean!H$2:H$101)</f>
        <v>206816.01</v>
      </c>
    </row>
    <row r="27" spans="1:2">
      <c r="A27" t="str">
        <f>TEXT(Festival_Data_Clean!C27,"mmmm")</f>
        <v>April</v>
      </c>
      <c r="B27">
        <f>SUMIF(A$2:A$101,A27,Festival_Data_Clean!H$2:H$101)</f>
        <v>185700.6</v>
      </c>
    </row>
    <row r="28" spans="1:2">
      <c r="A28" t="str">
        <f>TEXT(Festival_Data_Clean!C28,"mmmm")</f>
        <v>January</v>
      </c>
      <c r="B28">
        <f>SUMIF(A$2:A$101,A28,Festival_Data_Clean!H$2:H$101)</f>
        <v>183383.5</v>
      </c>
    </row>
    <row r="29" spans="1:2">
      <c r="A29" t="str">
        <f>TEXT(Festival_Data_Clean!C29,"mmmm")</f>
        <v>September</v>
      </c>
      <c r="B29">
        <f>SUMIF(A$2:A$101,A29,Festival_Data_Clean!H$2:H$101)</f>
        <v>142573</v>
      </c>
    </row>
    <row r="30" spans="1:2">
      <c r="A30" t="str">
        <f>TEXT(Festival_Data_Clean!C30,"mmmm")</f>
        <v>December</v>
      </c>
      <c r="B30">
        <f>SUMIF(A$2:A$101,A30,Festival_Data_Clean!H$2:H$101)</f>
        <v>261513.71000000002</v>
      </c>
    </row>
    <row r="31" spans="1:2">
      <c r="A31" t="str">
        <f>TEXT(Festival_Data_Clean!C31,"mmmm")</f>
        <v>December</v>
      </c>
      <c r="B31">
        <f>SUMIF(A$2:A$101,A31,Festival_Data_Clean!H$2:H$101)</f>
        <v>261513.71000000002</v>
      </c>
    </row>
    <row r="32" spans="1:2">
      <c r="A32" t="str">
        <f>TEXT(Festival_Data_Clean!C32,"mmmm")</f>
        <v>April</v>
      </c>
      <c r="B32">
        <f>SUMIF(A$2:A$101,A32,Festival_Data_Clean!H$2:H$101)</f>
        <v>185700.6</v>
      </c>
    </row>
    <row r="33" spans="1:2">
      <c r="A33" t="str">
        <f>TEXT(Festival_Data_Clean!C33,"mmmm")</f>
        <v>April</v>
      </c>
      <c r="B33">
        <f>SUMIF(A$2:A$101,A33,Festival_Data_Clean!H$2:H$101)</f>
        <v>185700.6</v>
      </c>
    </row>
    <row r="34" spans="1:2">
      <c r="A34" t="str">
        <f>TEXT(Festival_Data_Clean!C34,"mmmm")</f>
        <v>March</v>
      </c>
      <c r="B34">
        <f>SUMIF(A$2:A$101,A34,Festival_Data_Clean!H$2:H$101)</f>
        <v>99290.7</v>
      </c>
    </row>
    <row r="35" spans="1:2">
      <c r="A35" t="str">
        <f>TEXT(Festival_Data_Clean!C35,"mmmm")</f>
        <v>March</v>
      </c>
      <c r="B35">
        <f>SUMIF(A$2:A$101,A35,Festival_Data_Clean!H$2:H$101)</f>
        <v>99290.7</v>
      </c>
    </row>
    <row r="36" spans="1:2">
      <c r="A36" t="str">
        <f>TEXT(Festival_Data_Clean!C36,"mmmm")</f>
        <v>February</v>
      </c>
      <c r="B36">
        <f>SUMIF(A$2:A$101,A36,Festival_Data_Clean!H$2:H$101)</f>
        <v>154615.29999999999</v>
      </c>
    </row>
    <row r="37" spans="1:2">
      <c r="A37" t="str">
        <f>TEXT(Festival_Data_Clean!C37,"mmmm")</f>
        <v>April</v>
      </c>
      <c r="B37">
        <f>SUMIF(A$2:A$101,A37,Festival_Data_Clean!H$2:H$101)</f>
        <v>185700.6</v>
      </c>
    </row>
    <row r="38" spans="1:2">
      <c r="A38" t="str">
        <f>TEXT(Festival_Data_Clean!C38,"mmmm")</f>
        <v>August</v>
      </c>
      <c r="B38">
        <f>SUMIF(A$2:A$101,A38,Festival_Data_Clean!H$2:H$101)</f>
        <v>288400.90000000002</v>
      </c>
    </row>
    <row r="39" spans="1:2">
      <c r="A39" t="str">
        <f>TEXT(Festival_Data_Clean!C39,"mmmm")</f>
        <v>September</v>
      </c>
      <c r="B39">
        <f>SUMIF(A$2:A$101,A39,Festival_Data_Clean!H$2:H$101)</f>
        <v>142573</v>
      </c>
    </row>
    <row r="40" spans="1:2">
      <c r="A40" t="str">
        <f>TEXT(Festival_Data_Clean!C40,"mmmm")</f>
        <v>August</v>
      </c>
      <c r="B40">
        <f>SUMIF(A$2:A$101,A40,Festival_Data_Clean!H$2:H$101)</f>
        <v>288400.90000000002</v>
      </c>
    </row>
    <row r="41" spans="1:2">
      <c r="A41" t="str">
        <f>TEXT(Festival_Data_Clean!C41,"mmmm")</f>
        <v>June</v>
      </c>
      <c r="B41">
        <f>SUMIF(A$2:A$101,A41,Festival_Data_Clean!H$2:H$101)</f>
        <v>216292.12000000002</v>
      </c>
    </row>
    <row r="42" spans="1:2">
      <c r="A42" t="str">
        <f>TEXT(Festival_Data_Clean!C42,"mmmm")</f>
        <v>December</v>
      </c>
      <c r="B42">
        <f>SUMIF(A$2:A$101,A42,Festival_Data_Clean!H$2:H$101)</f>
        <v>261513.71000000002</v>
      </c>
    </row>
    <row r="43" spans="1:2">
      <c r="A43" t="str">
        <f>TEXT(Festival_Data_Clean!C43,"mmmm")</f>
        <v>August</v>
      </c>
      <c r="B43">
        <f>SUMIF(A$2:A$101,A43,Festival_Data_Clean!H$2:H$101)</f>
        <v>288400.90000000002</v>
      </c>
    </row>
    <row r="44" spans="1:2">
      <c r="A44" t="str">
        <f>TEXT(Festival_Data_Clean!C44,"mmmm")</f>
        <v>September</v>
      </c>
      <c r="B44">
        <f>SUMIF(A$2:A$101,A44,Festival_Data_Clean!H$2:H$101)</f>
        <v>142573</v>
      </c>
    </row>
    <row r="45" spans="1:2">
      <c r="A45" t="str">
        <f>TEXT(Festival_Data_Clean!C45,"mmmm")</f>
        <v>August</v>
      </c>
      <c r="B45">
        <f>SUMIF(A$2:A$101,A45,Festival_Data_Clean!H$2:H$101)</f>
        <v>288400.90000000002</v>
      </c>
    </row>
    <row r="46" spans="1:2">
      <c r="A46" t="str">
        <f>TEXT(Festival_Data_Clean!C46,"mmmm")</f>
        <v>November</v>
      </c>
      <c r="B46">
        <f>SUMIF(A$2:A$101,A46,Festival_Data_Clean!H$2:H$101)</f>
        <v>210541.82000000004</v>
      </c>
    </row>
    <row r="47" spans="1:2">
      <c r="A47" t="str">
        <f>TEXT(Festival_Data_Clean!C47,"mmmm")</f>
        <v>August</v>
      </c>
      <c r="B47">
        <f>SUMIF(A$2:A$101,A47,Festival_Data_Clean!H$2:H$101)</f>
        <v>288400.90000000002</v>
      </c>
    </row>
    <row r="48" spans="1:2">
      <c r="A48" t="str">
        <f>TEXT(Festival_Data_Clean!C48,"mmmm")</f>
        <v>December</v>
      </c>
      <c r="B48">
        <f>SUMIF(A$2:A$101,A48,Festival_Data_Clean!H$2:H$101)</f>
        <v>261513.71000000002</v>
      </c>
    </row>
    <row r="49" spans="1:2">
      <c r="A49" t="str">
        <f>TEXT(Festival_Data_Clean!C49,"mmmm")</f>
        <v>June</v>
      </c>
      <c r="B49">
        <f>SUMIF(A$2:A$101,A49,Festival_Data_Clean!H$2:H$101)</f>
        <v>216292.12000000002</v>
      </c>
    </row>
    <row r="50" spans="1:2">
      <c r="A50" t="str">
        <f>TEXT(Festival_Data_Clean!C50,"mmmm")</f>
        <v>May</v>
      </c>
      <c r="B50">
        <f>SUMIF(A$2:A$101,A50,Festival_Data_Clean!H$2:H$101)</f>
        <v>206816.01</v>
      </c>
    </row>
    <row r="51" spans="1:2">
      <c r="A51" t="str">
        <f>TEXT(Festival_Data_Clean!C51,"mmmm")</f>
        <v>April</v>
      </c>
      <c r="B51">
        <f>SUMIF(A$2:A$101,A51,Festival_Data_Clean!H$2:H$101)</f>
        <v>185700.6</v>
      </c>
    </row>
    <row r="52" spans="1:2">
      <c r="A52" t="str">
        <f>TEXT(Festival_Data_Clean!C52,"mmmm")</f>
        <v>January</v>
      </c>
      <c r="B52">
        <f>SUMIF(A$2:A$101,A52,Festival_Data_Clean!H$2:H$101)</f>
        <v>183383.5</v>
      </c>
    </row>
    <row r="53" spans="1:2">
      <c r="A53" t="str">
        <f>TEXT(Festival_Data_Clean!C53,"mmmm")</f>
        <v>July</v>
      </c>
      <c r="B53">
        <f>SUMIF(A$2:A$101,A53,Festival_Data_Clean!H$2:H$101)</f>
        <v>158221.6</v>
      </c>
    </row>
    <row r="54" spans="1:2">
      <c r="A54" t="str">
        <f>TEXT(Festival_Data_Clean!C54,"mmmm")</f>
        <v>September</v>
      </c>
      <c r="B54">
        <f>SUMIF(A$2:A$101,A54,Festival_Data_Clean!H$2:H$101)</f>
        <v>142573</v>
      </c>
    </row>
    <row r="55" spans="1:2">
      <c r="A55" t="str">
        <f>TEXT(Festival_Data_Clean!C55,"mmmm")</f>
        <v>November</v>
      </c>
      <c r="B55">
        <f>SUMIF(A$2:A$101,A55,Festival_Data_Clean!H$2:H$101)</f>
        <v>210541.82000000004</v>
      </c>
    </row>
    <row r="56" spans="1:2">
      <c r="A56" t="str">
        <f>TEXT(Festival_Data_Clean!C56,"mmmm")</f>
        <v>December</v>
      </c>
      <c r="B56">
        <f>SUMIF(A$2:A$101,A56,Festival_Data_Clean!H$2:H$101)</f>
        <v>261513.71000000002</v>
      </c>
    </row>
    <row r="57" spans="1:2">
      <c r="A57" t="str">
        <f>TEXT(Festival_Data_Clean!C57,"mmmm")</f>
        <v>January</v>
      </c>
      <c r="B57">
        <f>SUMIF(A$2:A$101,A57,Festival_Data_Clean!H$2:H$101)</f>
        <v>183383.5</v>
      </c>
    </row>
    <row r="58" spans="1:2">
      <c r="A58" t="str">
        <f>TEXT(Festival_Data_Clean!C58,"mmmm")</f>
        <v>August</v>
      </c>
      <c r="B58">
        <f>SUMIF(A$2:A$101,A58,Festival_Data_Clean!H$2:H$101)</f>
        <v>288400.90000000002</v>
      </c>
    </row>
    <row r="59" spans="1:2">
      <c r="A59" t="str">
        <f>TEXT(Festival_Data_Clean!C59,"mmmm")</f>
        <v>June</v>
      </c>
      <c r="B59">
        <f>SUMIF(A$2:A$101,A59,Festival_Data_Clean!H$2:H$101)</f>
        <v>216292.12000000002</v>
      </c>
    </row>
    <row r="60" spans="1:2">
      <c r="A60" t="str">
        <f>TEXT(Festival_Data_Clean!C60,"mmmm")</f>
        <v>February</v>
      </c>
      <c r="B60">
        <f>SUMIF(A$2:A$101,A60,Festival_Data_Clean!H$2:H$101)</f>
        <v>154615.29999999999</v>
      </c>
    </row>
    <row r="61" spans="1:2">
      <c r="A61" t="str">
        <f>TEXT(Festival_Data_Clean!C61,"mmmm")</f>
        <v>May</v>
      </c>
      <c r="B61">
        <f>SUMIF(A$2:A$101,A61,Festival_Data_Clean!H$2:H$101)</f>
        <v>206816.01</v>
      </c>
    </row>
    <row r="62" spans="1:2">
      <c r="A62" t="str">
        <f>TEXT(Festival_Data_Clean!C62,"mmmm")</f>
        <v>October</v>
      </c>
      <c r="B62">
        <f>SUMIF(A$2:A$101,A62,Festival_Data_Clean!H$2:H$101)</f>
        <v>29962.6</v>
      </c>
    </row>
    <row r="63" spans="1:2">
      <c r="A63" t="str">
        <f>TEXT(Festival_Data_Clean!C63,"mmmm")</f>
        <v>July</v>
      </c>
      <c r="B63">
        <f>SUMIF(A$2:A$101,A63,Festival_Data_Clean!H$2:H$101)</f>
        <v>158221.6</v>
      </c>
    </row>
    <row r="64" spans="1:2">
      <c r="A64" t="str">
        <f>TEXT(Festival_Data_Clean!C64,"mmmm")</f>
        <v>July</v>
      </c>
      <c r="B64">
        <f>SUMIF(A$2:A$101,A64,Festival_Data_Clean!H$2:H$101)</f>
        <v>158221.6</v>
      </c>
    </row>
    <row r="65" spans="1:2">
      <c r="A65" t="str">
        <f>TEXT(Festival_Data_Clean!C65,"mmmm")</f>
        <v>June</v>
      </c>
      <c r="B65">
        <f>SUMIF(A$2:A$101,A65,Festival_Data_Clean!H$2:H$101)</f>
        <v>216292.12000000002</v>
      </c>
    </row>
    <row r="66" spans="1:2">
      <c r="A66" t="str">
        <f>TEXT(Festival_Data_Clean!C66,"mmmm")</f>
        <v>January</v>
      </c>
      <c r="B66">
        <f>SUMIF(A$2:A$101,A66,Festival_Data_Clean!H$2:H$101)</f>
        <v>183383.5</v>
      </c>
    </row>
    <row r="67" spans="1:2">
      <c r="A67" t="str">
        <f>TEXT(Festival_Data_Clean!C67,"mmmm")</f>
        <v>March</v>
      </c>
      <c r="B67">
        <f>SUMIF(A$2:A$101,A67,Festival_Data_Clean!H$2:H$101)</f>
        <v>99290.7</v>
      </c>
    </row>
    <row r="68" spans="1:2">
      <c r="A68" t="str">
        <f>TEXT(Festival_Data_Clean!C68,"mmmm")</f>
        <v>November</v>
      </c>
      <c r="B68">
        <f>SUMIF(A$2:A$101,A68,Festival_Data_Clean!H$2:H$101)</f>
        <v>210541.82000000004</v>
      </c>
    </row>
    <row r="69" spans="1:2">
      <c r="A69" t="str">
        <f>TEXT(Festival_Data_Clean!C69,"mmmm")</f>
        <v>May</v>
      </c>
      <c r="B69">
        <f>SUMIF(A$2:A$101,A69,Festival_Data_Clean!H$2:H$101)</f>
        <v>206816.01</v>
      </c>
    </row>
    <row r="70" spans="1:2">
      <c r="A70" t="str">
        <f>TEXT(Festival_Data_Clean!C70,"mmmm")</f>
        <v>March</v>
      </c>
      <c r="B70">
        <f>SUMIF(A$2:A$101,A70,Festival_Data_Clean!H$2:H$101)</f>
        <v>99290.7</v>
      </c>
    </row>
    <row r="71" spans="1:2">
      <c r="A71" t="str">
        <f>TEXT(Festival_Data_Clean!C71,"mmmm")</f>
        <v>August</v>
      </c>
      <c r="B71">
        <f>SUMIF(A$2:A$101,A71,Festival_Data_Clean!H$2:H$101)</f>
        <v>288400.90000000002</v>
      </c>
    </row>
    <row r="72" spans="1:2">
      <c r="A72" t="str">
        <f>TEXT(Festival_Data_Clean!C72,"mmmm")</f>
        <v>August</v>
      </c>
      <c r="B72">
        <f>SUMIF(A$2:A$101,A72,Festival_Data_Clean!H$2:H$101)</f>
        <v>288400.90000000002</v>
      </c>
    </row>
    <row r="73" spans="1:2">
      <c r="A73" t="str">
        <f>TEXT(Festival_Data_Clean!C73,"mmmm")</f>
        <v>January</v>
      </c>
      <c r="B73">
        <f>SUMIF(A$2:A$101,A73,Festival_Data_Clean!H$2:H$101)</f>
        <v>183383.5</v>
      </c>
    </row>
    <row r="74" spans="1:2">
      <c r="A74" t="str">
        <f>TEXT(Festival_Data_Clean!C74,"mmmm")</f>
        <v>October</v>
      </c>
      <c r="B74">
        <f>SUMIF(A$2:A$101,A74,Festival_Data_Clean!H$2:H$101)</f>
        <v>29962.6</v>
      </c>
    </row>
    <row r="75" spans="1:2">
      <c r="A75" t="str">
        <f>TEXT(Festival_Data_Clean!C75,"mmmm")</f>
        <v>February</v>
      </c>
      <c r="B75">
        <f>SUMIF(A$2:A$101,A75,Festival_Data_Clean!H$2:H$101)</f>
        <v>154615.29999999999</v>
      </c>
    </row>
    <row r="76" spans="1:2">
      <c r="A76" t="str">
        <f>TEXT(Festival_Data_Clean!C76,"mmmm")</f>
        <v>November</v>
      </c>
      <c r="B76">
        <f>SUMIF(A$2:A$101,A76,Festival_Data_Clean!H$2:H$101)</f>
        <v>210541.82000000004</v>
      </c>
    </row>
    <row r="77" spans="1:2">
      <c r="A77" t="str">
        <f>TEXT(Festival_Data_Clean!C77,"mmmm")</f>
        <v>February</v>
      </c>
      <c r="B77">
        <f>SUMIF(A$2:A$101,A77,Festival_Data_Clean!H$2:H$101)</f>
        <v>154615.29999999999</v>
      </c>
    </row>
    <row r="78" spans="1:2">
      <c r="A78" t="str">
        <f>TEXT(Festival_Data_Clean!C78,"mmmm")</f>
        <v>September</v>
      </c>
      <c r="B78">
        <f>SUMIF(A$2:A$101,A78,Festival_Data_Clean!H$2:H$101)</f>
        <v>142573</v>
      </c>
    </row>
    <row r="79" spans="1:2">
      <c r="A79" t="str">
        <f>TEXT(Festival_Data_Clean!C79,"mmmm")</f>
        <v>August</v>
      </c>
      <c r="B79">
        <f>SUMIF(A$2:A$101,A79,Festival_Data_Clean!H$2:H$101)</f>
        <v>288400.90000000002</v>
      </c>
    </row>
    <row r="80" spans="1:2">
      <c r="A80" t="str">
        <f>TEXT(Festival_Data_Clean!C80,"mmmm")</f>
        <v>November</v>
      </c>
      <c r="B80">
        <f>SUMIF(A$2:A$101,A80,Festival_Data_Clean!H$2:H$101)</f>
        <v>210541.82000000004</v>
      </c>
    </row>
    <row r="81" spans="1:2">
      <c r="A81" t="str">
        <f>TEXT(Festival_Data_Clean!C81,"mmmm")</f>
        <v>May</v>
      </c>
      <c r="B81">
        <f>SUMIF(A$2:A$101,A81,Festival_Data_Clean!H$2:H$101)</f>
        <v>206816.01</v>
      </c>
    </row>
    <row r="82" spans="1:2">
      <c r="A82" t="str">
        <f>TEXT(Festival_Data_Clean!C82,"mmmm")</f>
        <v>August</v>
      </c>
      <c r="B82">
        <f>SUMIF(A$2:A$101,A82,Festival_Data_Clean!H$2:H$101)</f>
        <v>288400.90000000002</v>
      </c>
    </row>
    <row r="83" spans="1:2">
      <c r="A83" t="str">
        <f>TEXT(Festival_Data_Clean!C83,"mmmm")</f>
        <v>February</v>
      </c>
      <c r="B83">
        <f>SUMIF(A$2:A$101,A83,Festival_Data_Clean!H$2:H$101)</f>
        <v>154615.29999999999</v>
      </c>
    </row>
    <row r="84" spans="1:2">
      <c r="A84" t="str">
        <f>TEXT(Festival_Data_Clean!C84,"mmmm")</f>
        <v>November</v>
      </c>
      <c r="B84">
        <f>SUMIF(A$2:A$101,A84,Festival_Data_Clean!H$2:H$101)</f>
        <v>210541.82000000004</v>
      </c>
    </row>
    <row r="85" spans="1:2">
      <c r="A85" t="str">
        <f>TEXT(Festival_Data_Clean!C85,"mmmm")</f>
        <v>April</v>
      </c>
      <c r="B85">
        <f>SUMIF(A$2:A$101,A85,Festival_Data_Clean!H$2:H$101)</f>
        <v>185700.6</v>
      </c>
    </row>
    <row r="86" spans="1:2">
      <c r="A86" t="str">
        <f>TEXT(Festival_Data_Clean!C86,"mmmm")</f>
        <v>June</v>
      </c>
      <c r="B86">
        <f>SUMIF(A$2:A$101,A86,Festival_Data_Clean!H$2:H$101)</f>
        <v>216292.12000000002</v>
      </c>
    </row>
    <row r="87" spans="1:2">
      <c r="A87" t="str">
        <f>TEXT(Festival_Data_Clean!C87,"mmmm")</f>
        <v>April</v>
      </c>
      <c r="B87">
        <f>SUMIF(A$2:A$101,A87,Festival_Data_Clean!H$2:H$101)</f>
        <v>185700.6</v>
      </c>
    </row>
    <row r="88" spans="1:2">
      <c r="A88" t="str">
        <f>TEXT(Festival_Data_Clean!C88,"mmmm")</f>
        <v>November</v>
      </c>
      <c r="B88">
        <f>SUMIF(A$2:A$101,A88,Festival_Data_Clean!H$2:H$101)</f>
        <v>210541.82000000004</v>
      </c>
    </row>
    <row r="89" spans="1:2">
      <c r="A89" t="str">
        <f>TEXT(Festival_Data_Clean!C89,"mmmm")</f>
        <v>December</v>
      </c>
      <c r="B89">
        <f>SUMIF(A$2:A$101,A89,Festival_Data_Clean!H$2:H$101)</f>
        <v>261513.71000000002</v>
      </c>
    </row>
    <row r="90" spans="1:2">
      <c r="A90" t="str">
        <f>TEXT(Festival_Data_Clean!C90,"mmmm")</f>
        <v>January</v>
      </c>
      <c r="B90">
        <f>SUMIF(A$2:A$101,A90,Festival_Data_Clean!H$2:H$101)</f>
        <v>183383.5</v>
      </c>
    </row>
    <row r="91" spans="1:2">
      <c r="A91" t="str">
        <f>TEXT(Festival_Data_Clean!C91,"mmmm")</f>
        <v>February</v>
      </c>
      <c r="B91">
        <f>SUMIF(A$2:A$101,A91,Festival_Data_Clean!H$2:H$101)</f>
        <v>154615.29999999999</v>
      </c>
    </row>
    <row r="92" spans="1:2">
      <c r="A92" t="str">
        <f>TEXT(Festival_Data_Clean!C92,"mmmm")</f>
        <v>February</v>
      </c>
      <c r="B92">
        <f>SUMIF(A$2:A$101,A92,Festival_Data_Clean!H$2:H$101)</f>
        <v>154615.29999999999</v>
      </c>
    </row>
    <row r="93" spans="1:2">
      <c r="A93" t="str">
        <f>TEXT(Festival_Data_Clean!C93,"mmmm")</f>
        <v>December</v>
      </c>
      <c r="B93">
        <f>SUMIF(A$2:A$101,A93,Festival_Data_Clean!H$2:H$101)</f>
        <v>261513.71000000002</v>
      </c>
    </row>
    <row r="94" spans="1:2">
      <c r="A94" t="str">
        <f>TEXT(Festival_Data_Clean!C94,"mmmm")</f>
        <v>May</v>
      </c>
      <c r="B94">
        <f>SUMIF(A$2:A$101,A94,Festival_Data_Clean!H$2:H$101)</f>
        <v>206816.01</v>
      </c>
    </row>
    <row r="95" spans="1:2">
      <c r="A95" t="str">
        <f>TEXT(Festival_Data_Clean!C95,"mmmm")</f>
        <v>July</v>
      </c>
      <c r="B95">
        <f>SUMIF(A$2:A$101,A95,Festival_Data_Clean!H$2:H$101)</f>
        <v>158221.6</v>
      </c>
    </row>
    <row r="96" spans="1:2">
      <c r="A96" t="str">
        <f>TEXT(Festival_Data_Clean!C96,"mmmm")</f>
        <v>December</v>
      </c>
      <c r="B96">
        <f>SUMIF(A$2:A$101,A96,Festival_Data_Clean!H$2:H$101)</f>
        <v>261513.71000000002</v>
      </c>
    </row>
    <row r="97" spans="1:2">
      <c r="A97" t="str">
        <f>TEXT(Festival_Data_Clean!C97,"mmmm")</f>
        <v>August</v>
      </c>
      <c r="B97">
        <f>SUMIF(A$2:A$101,A97,Festival_Data_Clean!H$2:H$101)</f>
        <v>288400.90000000002</v>
      </c>
    </row>
    <row r="98" spans="1:2">
      <c r="A98" t="str">
        <f>TEXT(Festival_Data_Clean!C98,"mmmm")</f>
        <v>March</v>
      </c>
      <c r="B98">
        <f>SUMIF(A$2:A$101,A98,Festival_Data_Clean!H$2:H$101)</f>
        <v>99290.7</v>
      </c>
    </row>
    <row r="99" spans="1:2">
      <c r="A99" t="str">
        <f>TEXT(Festival_Data_Clean!C99,"mmmm")</f>
        <v>May</v>
      </c>
      <c r="B99">
        <f>SUMIF(A$2:A$101,A99,Festival_Data_Clean!H$2:H$101)</f>
        <v>206816.01</v>
      </c>
    </row>
    <row r="100" spans="1:2">
      <c r="A100" t="str">
        <f>TEXT(Festival_Data_Clean!C100,"mmmm")</f>
        <v>December</v>
      </c>
      <c r="B100">
        <f>SUMIF(A$2:A$101,A100,Festival_Data_Clean!H$2:H$101)</f>
        <v>261513.71000000002</v>
      </c>
    </row>
    <row r="101" spans="1:2">
      <c r="A101" t="str">
        <f>TEXT(Festival_Data_Clean!C101,"mmmm")</f>
        <v>July</v>
      </c>
      <c r="B101">
        <f>SUMIF(A$2:A$101,A101,Festival_Data_Clean!H$2:H$101)</f>
        <v>158221.6</v>
      </c>
    </row>
  </sheetData>
  <conditionalFormatting sqref="E2:E13">
    <cfRule type="top10" dxfId="11" priority="1" rank="1"/>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2B4BC-44BA-42A3-A43E-20EFE02205E9}">
  <dimension ref="A1:I11"/>
  <sheetViews>
    <sheetView zoomScale="94" workbookViewId="0">
      <selection activeCell="O26" sqref="O26"/>
    </sheetView>
  </sheetViews>
  <sheetFormatPr defaultRowHeight="14.4"/>
  <cols>
    <col min="1" max="1" width="10.109375" bestFit="1" customWidth="1"/>
    <col min="2" max="2" width="15.5546875" bestFit="1" customWidth="1"/>
    <col min="3" max="3" width="12.77734375" bestFit="1" customWidth="1"/>
    <col min="7" max="7" width="6.88671875" bestFit="1" customWidth="1"/>
    <col min="8" max="8" width="17.33203125" customWidth="1"/>
    <col min="9" max="9" width="14.44140625" customWidth="1"/>
  </cols>
  <sheetData>
    <row r="1" spans="1:9">
      <c r="A1" s="5" t="s">
        <v>39</v>
      </c>
      <c r="B1" s="5" t="s">
        <v>175</v>
      </c>
      <c r="C1" s="5" t="s">
        <v>178</v>
      </c>
      <c r="E1" s="4" t="s">
        <v>179</v>
      </c>
      <c r="G1" s="5" t="s">
        <v>39</v>
      </c>
      <c r="H1" s="5" t="s">
        <v>175</v>
      </c>
      <c r="I1" s="5" t="s">
        <v>178</v>
      </c>
    </row>
    <row r="2" spans="1:9">
      <c r="A2" t="str" cm="1">
        <f t="array" ref="A2:A11">_xlfn.UNIQUE(Festival_Data_Clean!B2:B101)</f>
        <v>Kolkata</v>
      </c>
      <c r="B2">
        <f>SUMIF(Festival_Data_Clean!B$2:B$101,A2,Festival_Data_Clean!H$2:H$101)</f>
        <v>144910.20000000001</v>
      </c>
      <c r="C2">
        <f>COUNTIF(Festival_Data_Clean!B$2:B$101,A2)</f>
        <v>8</v>
      </c>
      <c r="E2" t="str">
        <f>INDEX(A2:A11,MATCH(MAX(B2:B11),B2:B11,0))</f>
        <v>Goa</v>
      </c>
      <c r="G2" t="str" cm="1">
        <f t="array" ref="G2:I11">_xlfn.SORTBY(A2:C11,B2:B11,-1)</f>
        <v>Goa</v>
      </c>
      <c r="H2">
        <v>382152.11</v>
      </c>
      <c r="I2">
        <v>16</v>
      </c>
    </row>
    <row r="3" spans="1:9">
      <c r="A3" t="str">
        <v>Delhi</v>
      </c>
      <c r="B3">
        <f>SUMIF(Festival_Data_Clean!B$2:B$101,A3,Festival_Data_Clean!H$2:H$101)</f>
        <v>280485.40999999997</v>
      </c>
      <c r="C3">
        <f>COUNTIF(Festival_Data_Clean!B$2:B$101,A3)</f>
        <v>12</v>
      </c>
      <c r="G3" t="str">
        <v>Jaipur</v>
      </c>
      <c r="H3">
        <v>334965.90000000002</v>
      </c>
      <c r="I3">
        <v>13</v>
      </c>
    </row>
    <row r="4" spans="1:9">
      <c r="A4" t="str">
        <v>Bengaluru</v>
      </c>
      <c r="B4">
        <f>SUMIF(Festival_Data_Clean!B$2:B$101,A4,Festival_Data_Clean!H$2:H$101)</f>
        <v>150796.4</v>
      </c>
      <c r="C4">
        <f>COUNTIF(Festival_Data_Clean!B$2:B$101,A4)</f>
        <v>10</v>
      </c>
      <c r="G4" t="str">
        <v>Nagpur</v>
      </c>
      <c r="H4">
        <v>310677.21999999997</v>
      </c>
      <c r="I4">
        <v>14</v>
      </c>
    </row>
    <row r="5" spans="1:9">
      <c r="A5" t="str">
        <v>Goa</v>
      </c>
      <c r="B5">
        <f>SUMIF(Festival_Data_Clean!B$2:B$101,A5,Festival_Data_Clean!H$2:H$101)</f>
        <v>382152.11</v>
      </c>
      <c r="C5">
        <f>COUNTIF(Festival_Data_Clean!B$2:B$101,A5)</f>
        <v>16</v>
      </c>
      <c r="G5" t="str">
        <v>Delhi</v>
      </c>
      <c r="H5">
        <v>280485.40999999997</v>
      </c>
      <c r="I5">
        <v>12</v>
      </c>
    </row>
    <row r="6" spans="1:9">
      <c r="A6" t="str">
        <v>Nagpur</v>
      </c>
      <c r="B6">
        <f>SUMIF(Festival_Data_Clean!B$2:B$101,A6,Festival_Data_Clean!H$2:H$101)</f>
        <v>310677.21999999997</v>
      </c>
      <c r="C6">
        <f>COUNTIF(Festival_Data_Clean!B$2:B$101,A6)</f>
        <v>14</v>
      </c>
      <c r="G6" t="str">
        <v>Pune</v>
      </c>
      <c r="H6">
        <v>182282.2</v>
      </c>
      <c r="I6">
        <v>8</v>
      </c>
    </row>
    <row r="7" spans="1:9">
      <c r="A7" t="str">
        <v>Jaipur</v>
      </c>
      <c r="B7">
        <f>SUMIF(Festival_Data_Clean!B$2:B$101,A7,Festival_Data_Clean!H$2:H$101)</f>
        <v>334965.90000000002</v>
      </c>
      <c r="C7">
        <f>COUNTIF(Festival_Data_Clean!B$2:B$101,A7)</f>
        <v>13</v>
      </c>
      <c r="G7" t="str">
        <v>Chandigarh</v>
      </c>
      <c r="H7">
        <v>155236.1</v>
      </c>
      <c r="I7">
        <v>8</v>
      </c>
    </row>
    <row r="8" spans="1:9">
      <c r="A8" t="str">
        <v>Pune</v>
      </c>
      <c r="B8">
        <f>SUMIF(Festival_Data_Clean!B$2:B$101,A8,Festival_Data_Clean!H$2:H$101)</f>
        <v>182282.2</v>
      </c>
      <c r="C8">
        <f>COUNTIF(Festival_Data_Clean!B$2:B$101,A8)</f>
        <v>8</v>
      </c>
      <c r="G8" t="str">
        <v>Bengaluru</v>
      </c>
      <c r="H8">
        <v>150796.4</v>
      </c>
      <c r="I8">
        <v>10</v>
      </c>
    </row>
    <row r="9" spans="1:9">
      <c r="A9" t="str">
        <v>Mumbai</v>
      </c>
      <c r="B9">
        <f>SUMIF(Festival_Data_Clean!B$2:B$101,A9,Festival_Data_Clean!H$2:H$101)</f>
        <v>79127.199999999997</v>
      </c>
      <c r="C9">
        <f>COUNTIF(Festival_Data_Clean!B$2:B$101,A9)</f>
        <v>5</v>
      </c>
      <c r="G9" t="str">
        <v>Kolkata</v>
      </c>
      <c r="H9">
        <v>144910.20000000001</v>
      </c>
      <c r="I9">
        <v>8</v>
      </c>
    </row>
    <row r="10" spans="1:9">
      <c r="A10" t="str">
        <v>Amritsar</v>
      </c>
      <c r="B10">
        <f>SUMIF(Festival_Data_Clean!B$2:B$101,A10,Festival_Data_Clean!H$2:H$101)</f>
        <v>116679.12</v>
      </c>
      <c r="C10">
        <f>COUNTIF(Festival_Data_Clean!B$2:B$101,A10)</f>
        <v>6</v>
      </c>
      <c r="G10" t="str">
        <v>Amritsar</v>
      </c>
      <c r="H10">
        <v>116679.12</v>
      </c>
      <c r="I10">
        <v>6</v>
      </c>
    </row>
    <row r="11" spans="1:9">
      <c r="A11" t="str">
        <v>Chandigarh</v>
      </c>
      <c r="B11">
        <f>SUMIF(Festival_Data_Clean!B$2:B$101,A11,Festival_Data_Clean!H$2:H$101)</f>
        <v>155236.1</v>
      </c>
      <c r="C11">
        <f>COUNTIF(Festival_Data_Clean!B$2:B$101,A11)</f>
        <v>8</v>
      </c>
      <c r="G11" t="str">
        <v>Mumbai</v>
      </c>
      <c r="H11">
        <v>79127.199999999997</v>
      </c>
      <c r="I11">
        <v>5</v>
      </c>
    </row>
  </sheetData>
  <conditionalFormatting sqref="C2:C11">
    <cfRule type="top10" dxfId="10" priority="1" rank="1"/>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AC421-307C-4BAF-9C4F-471D97CB56D7}">
  <dimension ref="A1:G11"/>
  <sheetViews>
    <sheetView zoomScale="96" workbookViewId="0">
      <selection activeCell="H23" sqref="H23"/>
    </sheetView>
  </sheetViews>
  <sheetFormatPr defaultRowHeight="14.4"/>
  <cols>
    <col min="1" max="1" width="15.21875" bestFit="1" customWidth="1"/>
    <col min="2" max="2" width="15.77734375" bestFit="1" customWidth="1"/>
    <col min="3" max="3" width="12.109375" bestFit="1" customWidth="1"/>
    <col min="5" max="5" width="12.109375" bestFit="1" customWidth="1"/>
    <col min="6" max="6" width="15.77734375" bestFit="1" customWidth="1"/>
    <col min="7" max="7" width="19.109375" bestFit="1" customWidth="1"/>
  </cols>
  <sheetData>
    <row r="1" spans="1:7">
      <c r="A1" s="5" t="s">
        <v>180</v>
      </c>
      <c r="B1" s="5" t="s">
        <v>175</v>
      </c>
      <c r="C1" s="5" t="s">
        <v>181</v>
      </c>
      <c r="E1" s="5" t="s">
        <v>184</v>
      </c>
      <c r="F1" s="5" t="s">
        <v>175</v>
      </c>
      <c r="G1" s="6" t="s">
        <v>185</v>
      </c>
    </row>
    <row r="2" spans="1:7">
      <c r="A2" t="str" cm="1">
        <f t="array" ref="A2:A11">_xlfn.UNIQUE(Festival_Data_Clean!E2:E101)</f>
        <v>Badshah</v>
      </c>
      <c r="B2">
        <f>SUMIF(Festival_Data_Clean!E$2:E$101,A2,Festival_Data_Clean!H$2:H$101)</f>
        <v>260001.01</v>
      </c>
      <c r="C2" t="s">
        <v>182</v>
      </c>
      <c r="E2" t="s">
        <v>182</v>
      </c>
      <c r="F2">
        <f>SUMIF($C$2:$C$11,E2,$B$2:$B$11)</f>
        <v>1557694.13</v>
      </c>
      <c r="G2">
        <f>F2/SUM($F$2:$F$3)</f>
        <v>0.72880994072619798</v>
      </c>
    </row>
    <row r="3" spans="1:7">
      <c r="A3" t="str">
        <v>Honey Singh</v>
      </c>
      <c r="B3">
        <f>SUMIF(Festival_Data_Clean!E$2:E$101,A3,Festival_Data_Clean!H$2:H$101)</f>
        <v>250955</v>
      </c>
      <c r="C3" t="s">
        <v>182</v>
      </c>
      <c r="E3" t="s">
        <v>183</v>
      </c>
      <c r="F3">
        <f>SUMIF($C$2:$C$11,E3,$B$2:$B$11)</f>
        <v>579617.73</v>
      </c>
      <c r="G3">
        <f>F3/SUM($F$2:$F$3)</f>
        <v>0.27119005927380202</v>
      </c>
    </row>
    <row r="4" spans="1:7">
      <c r="A4" t="str">
        <v>Bryan Adams</v>
      </c>
      <c r="B4">
        <f>SUMIF(Festival_Data_Clean!E$2:E$101,A4,Festival_Data_Clean!H$2:H$101)</f>
        <v>195282.71000000002</v>
      </c>
      <c r="C4" t="s">
        <v>183</v>
      </c>
    </row>
    <row r="5" spans="1:7">
      <c r="A5" t="str">
        <v>Arijit Singh</v>
      </c>
      <c r="B5">
        <f>SUMIF(Festival_Data_Clean!E$2:E$101,A5,Festival_Data_Clean!H$2:H$101)</f>
        <v>230409.60000000001</v>
      </c>
      <c r="C5" t="s">
        <v>182</v>
      </c>
    </row>
    <row r="6" spans="1:7">
      <c r="A6" t="str">
        <v>Mika Singh</v>
      </c>
      <c r="B6">
        <f>SUMIF(Festival_Data_Clean!E$2:E$101,A6,Festival_Data_Clean!H$2:H$101)</f>
        <v>242754</v>
      </c>
      <c r="C6" t="s">
        <v>182</v>
      </c>
    </row>
    <row r="7" spans="1:7">
      <c r="A7" t="str">
        <v>Shreya Ghoshal</v>
      </c>
      <c r="B7">
        <f>SUMIF(Festival_Data_Clean!E$2:E$101,A7,Festival_Data_Clean!H$2:H$101)</f>
        <v>210142.62000000002</v>
      </c>
      <c r="C7" t="s">
        <v>182</v>
      </c>
      <c r="G7" s="2"/>
    </row>
    <row r="8" spans="1:7">
      <c r="A8" t="str">
        <v>DJ Snake</v>
      </c>
      <c r="B8">
        <f>SUMIF(Festival_Data_Clean!E$2:E$101,A8,Festival_Data_Clean!H$2:H$101)</f>
        <v>168650.01</v>
      </c>
      <c r="C8" t="s">
        <v>183</v>
      </c>
    </row>
    <row r="9" spans="1:7">
      <c r="A9" t="str">
        <v>Diljit Dosanjh</v>
      </c>
      <c r="B9">
        <f>SUMIF(Festival_Data_Clean!E$2:E$101,A9,Festival_Data_Clean!H$2:H$101)</f>
        <v>363431.89999999997</v>
      </c>
      <c r="C9" t="s">
        <v>182</v>
      </c>
      <c r="G9" s="2"/>
    </row>
    <row r="10" spans="1:7">
      <c r="A10" t="str">
        <v>Martin Garrix</v>
      </c>
      <c r="B10">
        <f>SUMIF(Festival_Data_Clean!E$2:E$101,A10,Festival_Data_Clean!H$2:H$101)</f>
        <v>116336</v>
      </c>
      <c r="C10" t="s">
        <v>183</v>
      </c>
    </row>
    <row r="11" spans="1:7">
      <c r="A11" t="str">
        <v>Ed Sheeran</v>
      </c>
      <c r="B11">
        <f>SUMIF(Festival_Data_Clean!E$2:E$101,A11,Festival_Data_Clean!H$2:H$101)</f>
        <v>99349.01</v>
      </c>
      <c r="C11" t="s">
        <v>183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694EC-1809-47AB-BBEA-76C106188BD5}">
  <dimension ref="A1:E11"/>
  <sheetViews>
    <sheetView zoomScale="90" workbookViewId="0">
      <selection activeCell="L21" sqref="L21"/>
    </sheetView>
  </sheetViews>
  <sheetFormatPr defaultRowHeight="14.4"/>
  <cols>
    <col min="1" max="1" width="10.109375" bestFit="1" customWidth="1"/>
    <col min="2" max="2" width="14.33203125" bestFit="1" customWidth="1"/>
    <col min="3" max="3" width="14.5546875" bestFit="1" customWidth="1"/>
    <col min="5" max="5" width="26.77734375" bestFit="1" customWidth="1"/>
  </cols>
  <sheetData>
    <row r="1" spans="1:5">
      <c r="A1" s="5" t="s">
        <v>39</v>
      </c>
      <c r="B1" s="5" t="s">
        <v>186</v>
      </c>
      <c r="C1" s="5" t="s">
        <v>187</v>
      </c>
      <c r="E1" s="6" t="s">
        <v>188</v>
      </c>
    </row>
    <row r="2" spans="1:5">
      <c r="A2" t="str" cm="1">
        <f t="array" ref="A2:A11">_xlfn.UNIQUE(Festival_Data_Clean!B2:B101)</f>
        <v>Kolkata</v>
      </c>
      <c r="B2" s="3">
        <f>AVERAGEIF(Festival_Data_Clean!$B$2:$B$101,A2,Festival_Data_Clean!$G$2:$G$101)</f>
        <v>2832.2</v>
      </c>
      <c r="C2" s="8">
        <f>AVERAGEIF(Festival_Data_Clean!$B$2:$B$101,A2,Festival_Data_Clean!$H$2:$H$101)</f>
        <v>18113.775000000001</v>
      </c>
      <c r="E2" s="8">
        <f>CORREL(B2:B11,C2:C11)</f>
        <v>0.13408748864540401</v>
      </c>
    </row>
    <row r="3" spans="1:5">
      <c r="A3" t="str">
        <v>Delhi</v>
      </c>
      <c r="B3" s="3">
        <f>AVERAGEIF(Festival_Data_Clean!$B$2:$B$101,A3,Festival_Data_Clean!$G$2:$G$101)</f>
        <v>4060.8874999999994</v>
      </c>
      <c r="C3" s="8">
        <f>AVERAGEIF(Festival_Data_Clean!$B$2:$B$101,A3,Festival_Data_Clean!$H$2:$H$101)</f>
        <v>23373.784166666665</v>
      </c>
    </row>
    <row r="4" spans="1:5">
      <c r="A4" t="str">
        <v>Bengaluru</v>
      </c>
      <c r="B4" s="3">
        <f>AVERAGEIF(Festival_Data_Clean!$B$2:$B$101,A4,Festival_Data_Clean!$G$2:$G$101)</f>
        <v>3754.8</v>
      </c>
      <c r="C4" s="8">
        <f>AVERAGEIF(Festival_Data_Clean!$B$2:$B$101,A4,Festival_Data_Clean!$H$2:$H$101)</f>
        <v>15079.64</v>
      </c>
    </row>
    <row r="5" spans="1:5">
      <c r="A5" t="str">
        <v>Goa</v>
      </c>
      <c r="B5" s="3">
        <f>AVERAGEIF(Festival_Data_Clean!$B$2:$B$101,A5,Festival_Data_Clean!$G$2:$G$101)</f>
        <v>2439.6406249999995</v>
      </c>
      <c r="C5" s="8">
        <f>AVERAGEIF(Festival_Data_Clean!$B$2:$B$101,A5,Festival_Data_Clean!$H$2:$H$101)</f>
        <v>23884.506874999999</v>
      </c>
    </row>
    <row r="6" spans="1:5">
      <c r="A6" t="str">
        <v>Nagpur</v>
      </c>
      <c r="B6" s="3">
        <f>AVERAGEIF(Festival_Data_Clean!$B$2:$B$101,A6,Festival_Data_Clean!$G$2:$G$101)</f>
        <v>2663.1</v>
      </c>
      <c r="C6" s="8">
        <f>AVERAGEIF(Festival_Data_Clean!$B$2:$B$101,A6,Festival_Data_Clean!$H$2:$H$101)</f>
        <v>22191.23</v>
      </c>
    </row>
    <row r="7" spans="1:5">
      <c r="A7" t="str">
        <v>Jaipur</v>
      </c>
      <c r="B7" s="3">
        <f>AVERAGEIF(Festival_Data_Clean!$B$2:$B$101,A7,Festival_Data_Clean!$G$2:$G$101)</f>
        <v>3183.3384615384616</v>
      </c>
      <c r="C7" s="8">
        <f>AVERAGEIF(Festival_Data_Clean!$B$2:$B$101,A7,Festival_Data_Clean!$H$2:$H$101)</f>
        <v>25766.607692307694</v>
      </c>
    </row>
    <row r="8" spans="1:5">
      <c r="A8" t="str">
        <v>Pune</v>
      </c>
      <c r="B8" s="3">
        <f>AVERAGEIF(Festival_Data_Clean!$B$2:$B$101,A8,Festival_Data_Clean!$G$2:$G$101)</f>
        <v>3479.1000000000004</v>
      </c>
      <c r="C8" s="8">
        <f>AVERAGEIF(Festival_Data_Clean!$B$2:$B$101,A8,Festival_Data_Clean!$H$2:$H$101)</f>
        <v>22785.275000000001</v>
      </c>
    </row>
    <row r="9" spans="1:5">
      <c r="A9" t="str">
        <v>Mumbai</v>
      </c>
      <c r="B9" s="3">
        <f>AVERAGEIF(Festival_Data_Clean!$B$2:$B$101,A9,Festival_Data_Clean!$G$2:$G$101)</f>
        <v>2489.6</v>
      </c>
      <c r="C9" s="8">
        <f>AVERAGEIF(Festival_Data_Clean!$B$2:$B$101,A9,Festival_Data_Clean!$H$2:$H$101)</f>
        <v>15825.439999999999</v>
      </c>
    </row>
    <row r="10" spans="1:5">
      <c r="A10" t="str">
        <v>Amritsar</v>
      </c>
      <c r="B10" s="3">
        <f>AVERAGEIF(Festival_Data_Clean!$B$2:$B$101,A10,Festival_Data_Clean!$G$2:$G$101)</f>
        <v>2686.6666666666665</v>
      </c>
      <c r="C10" s="8">
        <f>AVERAGEIF(Festival_Data_Clean!$B$2:$B$101,A10,Festival_Data_Clean!$H$2:$H$101)</f>
        <v>19446.52</v>
      </c>
    </row>
    <row r="11" spans="1:5">
      <c r="A11" t="str">
        <v>Chandigarh</v>
      </c>
      <c r="B11" s="3">
        <f>AVERAGEIF(Festival_Data_Clean!$B$2:$B$101,A11,Festival_Data_Clean!$G$2:$G$101)</f>
        <v>2033.9</v>
      </c>
      <c r="C11" s="8">
        <f>AVERAGEIF(Festival_Data_Clean!$B$2:$B$101,A11,Festival_Data_Clean!$H$2:$H$101)</f>
        <v>19404.512500000001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551A-F3A1-447C-B77E-96CA6DF3BF9B}">
  <dimension ref="A1:Q101"/>
  <sheetViews>
    <sheetView zoomScale="84" workbookViewId="0">
      <selection activeCell="J24" sqref="J24"/>
    </sheetView>
  </sheetViews>
  <sheetFormatPr defaultRowHeight="14.4"/>
  <cols>
    <col min="1" max="1" width="22.33203125" bestFit="1" customWidth="1"/>
    <col min="2" max="2" width="10.5546875" bestFit="1" customWidth="1"/>
    <col min="3" max="3" width="10.77734375" bestFit="1" customWidth="1"/>
    <col min="4" max="4" width="13.109375" bestFit="1" customWidth="1"/>
    <col min="5" max="5" width="13.88671875" customWidth="1"/>
    <col min="7" max="7" width="16.33203125" customWidth="1"/>
    <col min="8" max="8" width="15.5546875" bestFit="1" customWidth="1"/>
    <col min="10" max="10" width="11.5546875" bestFit="1" customWidth="1"/>
    <col min="11" max="11" width="13.109375" bestFit="1" customWidth="1"/>
    <col min="13" max="13" width="11.5546875" bestFit="1" customWidth="1"/>
    <col min="14" max="14" width="19.33203125" bestFit="1" customWidth="1"/>
    <col min="16" max="16" width="13.6640625" customWidth="1"/>
    <col min="17" max="17" width="21.88671875" bestFit="1" customWidth="1"/>
  </cols>
  <sheetData>
    <row r="1" spans="1:17">
      <c r="A1" s="5" t="s">
        <v>189</v>
      </c>
      <c r="B1" s="5" t="s">
        <v>190</v>
      </c>
      <c r="C1" s="5" t="s">
        <v>191</v>
      </c>
      <c r="D1" s="5" t="s">
        <v>192</v>
      </c>
      <c r="E1" s="5" t="s">
        <v>193</v>
      </c>
      <c r="G1" s="5" t="s">
        <v>193</v>
      </c>
      <c r="H1" s="5" t="s">
        <v>175</v>
      </c>
      <c r="J1" s="5" t="s">
        <v>193</v>
      </c>
      <c r="K1" s="5" t="s">
        <v>192</v>
      </c>
      <c r="M1" s="5" t="s">
        <v>193</v>
      </c>
      <c r="N1" s="5" t="s">
        <v>194</v>
      </c>
      <c r="P1" s="5" t="s">
        <v>193</v>
      </c>
      <c r="Q1" s="5" t="s">
        <v>195</v>
      </c>
    </row>
    <row r="2" spans="1:17">
      <c r="A2" t="str">
        <f>Festival_Data_Clean!A2</f>
        <v>NH7 Pune</v>
      </c>
      <c r="B2">
        <f>Festival_Data_Clean!G2</f>
        <v>1253</v>
      </c>
      <c r="C2">
        <f>Festival_Data_Clean!H2</f>
        <v>6166</v>
      </c>
      <c r="D2">
        <f>Festival_Data_Clean!K2</f>
        <v>13348696</v>
      </c>
      <c r="E2" t="str">
        <f>IF(B2&lt;=1500,"₹0-1,500",IF(B2&lt;=3000,"₹1,501-3,000",IF(B2&lt;=4500,"₹3,001-4,500","₹4,500+")))</f>
        <v>₹0-1,500</v>
      </c>
      <c r="G2" t="str" cm="1">
        <f t="array" ref="G2:G5">_xlfn.UNIQUE(E2:E101)</f>
        <v>₹0-1,500</v>
      </c>
      <c r="H2">
        <f>SUMIF($E$2:$E$101,G2,$C$2:$C$101)</f>
        <v>444702.82</v>
      </c>
      <c r="J2" t="str" cm="1">
        <f t="array" ref="J2:J5">_xlfn.UNIQUE(E2:E101)</f>
        <v>₹0-1,500</v>
      </c>
      <c r="K2">
        <f>SUMIF($E$2:$E$101,J2,$D$2:$D$101)</f>
        <v>622941770</v>
      </c>
      <c r="M2" t="str">
        <f>J2</f>
        <v>₹0-1,500</v>
      </c>
      <c r="N2">
        <f>K2/COUNTIF($E$2:$E$101,M2)</f>
        <v>36643633.529411763</v>
      </c>
      <c r="P2" t="str">
        <f>G2</f>
        <v>₹0-1,500</v>
      </c>
      <c r="Q2">
        <f>H2/COUNTIF($E$2:$E$101,P2)</f>
        <v>26158.989411764705</v>
      </c>
    </row>
    <row r="3" spans="1:17">
      <c r="A3" t="str">
        <f>Festival_Data_Clean!A3</f>
        <v>Ziro Festival Arunachal</v>
      </c>
      <c r="B3">
        <f>Festival_Data_Clean!G3</f>
        <v>1689</v>
      </c>
      <c r="C3">
        <f>Festival_Data_Clean!H3</f>
        <v>40643</v>
      </c>
      <c r="D3">
        <f>Festival_Data_Clean!K3</f>
        <v>87858495</v>
      </c>
      <c r="E3" t="str">
        <f t="shared" ref="E3:E66" si="0">IF(B3&lt;=1500,"₹0-1,500",IF(B3&lt;=3000,"₹1,501-3,000",IF(B3&lt;=4500,"₹3,001-4,500","₹4,500+")))</f>
        <v>₹1,501-3,000</v>
      </c>
      <c r="G3" t="str">
        <v>₹1,501-3,000</v>
      </c>
      <c r="H3">
        <f t="shared" ref="H3:H5" si="1">SUMIF($E$2:$E$101,G3,$C$2:$C$101)</f>
        <v>732707.43</v>
      </c>
      <c r="J3" t="str">
        <v>₹1,501-3,000</v>
      </c>
      <c r="K3">
        <f t="shared" ref="K3:K5" si="2">SUMIF($E$2:$E$101,J3,$D$2:$D$101)</f>
        <v>2064396533</v>
      </c>
      <c r="M3" t="str">
        <f t="shared" ref="M3:M5" si="3">J3</f>
        <v>₹1,501-3,000</v>
      </c>
      <c r="N3">
        <f t="shared" ref="N3:N5" si="4">K3/COUNTIF($E$2:$E$101,M3)</f>
        <v>55794500.891891889</v>
      </c>
      <c r="P3" t="str">
        <f t="shared" ref="P3:P5" si="5">G3</f>
        <v>₹1,501-3,000</v>
      </c>
      <c r="Q3">
        <f t="shared" ref="Q3:Q5" si="6">H3/COUNTIF($E$2:$E$101,P3)</f>
        <v>19802.903513513516</v>
      </c>
    </row>
    <row r="4" spans="1:17">
      <c r="A4" t="str">
        <f>Festival_Data_Clean!A4</f>
        <v>NH7 Pune</v>
      </c>
      <c r="B4">
        <f>Festival_Data_Clean!G4</f>
        <v>6813.8</v>
      </c>
      <c r="C4">
        <f>Festival_Data_Clean!H4</f>
        <v>17889.900000000001</v>
      </c>
      <c r="D4">
        <f>Festival_Data_Clean!K4</f>
        <v>132693072</v>
      </c>
      <c r="E4" t="str">
        <f t="shared" si="0"/>
        <v>₹4,500+</v>
      </c>
      <c r="G4" t="str">
        <v>₹4,500+</v>
      </c>
      <c r="H4">
        <f t="shared" si="1"/>
        <v>244046.90000000002</v>
      </c>
      <c r="J4" t="str">
        <v>₹4,500+</v>
      </c>
      <c r="K4">
        <f t="shared" si="2"/>
        <v>1490524812</v>
      </c>
      <c r="M4" t="str">
        <f t="shared" si="3"/>
        <v>₹4,500+</v>
      </c>
      <c r="N4">
        <f t="shared" si="4"/>
        <v>99368320.799999997</v>
      </c>
      <c r="P4" t="str">
        <f t="shared" si="5"/>
        <v>₹4,500+</v>
      </c>
      <c r="Q4">
        <f t="shared" si="6"/>
        <v>16269.793333333335</v>
      </c>
    </row>
    <row r="5" spans="1:17">
      <c r="A5" t="str">
        <f>Festival_Data_Clean!A5</f>
        <v>VH1 Supersonic Delhi</v>
      </c>
      <c r="B5">
        <f>Festival_Data_Clean!G5</f>
        <v>2144</v>
      </c>
      <c r="C5">
        <f>Festival_Data_Clean!H5</f>
        <v>14688</v>
      </c>
      <c r="D5">
        <f>Festival_Data_Clean!K5</f>
        <v>36553838</v>
      </c>
      <c r="E5" t="str">
        <f t="shared" si="0"/>
        <v>₹1,501-3,000</v>
      </c>
      <c r="G5" t="str">
        <v>₹3,001-4,500</v>
      </c>
      <c r="H5">
        <f t="shared" si="1"/>
        <v>715854.70999999985</v>
      </c>
      <c r="J5" t="str">
        <v>₹3,001-4,500</v>
      </c>
      <c r="K5">
        <f t="shared" si="2"/>
        <v>2757866523</v>
      </c>
      <c r="M5" t="str">
        <f t="shared" si="3"/>
        <v>₹3,001-4,500</v>
      </c>
      <c r="N5">
        <f t="shared" si="4"/>
        <v>88963436.225806445</v>
      </c>
      <c r="P5" t="str">
        <f t="shared" si="5"/>
        <v>₹3,001-4,500</v>
      </c>
      <c r="Q5">
        <f t="shared" si="6"/>
        <v>23092.087419354833</v>
      </c>
    </row>
    <row r="6" spans="1:17">
      <c r="A6" t="str">
        <f>Festival_Data_Clean!A6</f>
        <v>Hornbill Festival Nagaland</v>
      </c>
      <c r="B6">
        <f>Festival_Data_Clean!G6</f>
        <v>1886</v>
      </c>
      <c r="C6">
        <f>Festival_Data_Clean!H6</f>
        <v>35244</v>
      </c>
      <c r="D6">
        <f>Festival_Data_Clean!K6</f>
        <v>73783833</v>
      </c>
      <c r="E6" t="str">
        <f t="shared" si="0"/>
        <v>₹1,501-3,000</v>
      </c>
    </row>
    <row r="7" spans="1:17">
      <c r="A7" t="str">
        <f>Festival_Data_Clean!A7</f>
        <v>Ziro Festival Arunachal</v>
      </c>
      <c r="B7">
        <f>Festival_Data_Clean!G7</f>
        <v>3984</v>
      </c>
      <c r="C7">
        <f>Festival_Data_Clean!H7</f>
        <v>31020</v>
      </c>
      <c r="D7">
        <f>Festival_Data_Clean!K7</f>
        <v>58605653</v>
      </c>
      <c r="E7" t="str">
        <f t="shared" si="0"/>
        <v>₹3,001-4,500</v>
      </c>
    </row>
    <row r="8" spans="1:17">
      <c r="A8" t="str">
        <f>Festival_Data_Clean!A8</f>
        <v>Ziro Festival Arunachal</v>
      </c>
      <c r="B8">
        <f>Festival_Data_Clean!G8</f>
        <v>1162.4000000000001</v>
      </c>
      <c r="C8">
        <f>Festival_Data_Clean!H8</f>
        <v>18778.2</v>
      </c>
      <c r="D8">
        <f>Festival_Data_Clean!K8</f>
        <v>111635078</v>
      </c>
      <c r="E8" t="str">
        <f t="shared" si="0"/>
        <v>₹0-1,500</v>
      </c>
    </row>
    <row r="9" spans="1:17">
      <c r="A9" t="str">
        <f>Festival_Data_Clean!A9</f>
        <v>NH7 Pune</v>
      </c>
      <c r="B9">
        <f>Festival_Data_Clean!G9</f>
        <v>840</v>
      </c>
      <c r="C9">
        <f>Festival_Data_Clean!H9</f>
        <v>33535</v>
      </c>
      <c r="D9">
        <f>Festival_Data_Clean!K9</f>
        <v>41577735</v>
      </c>
      <c r="E9" t="str">
        <f t="shared" si="0"/>
        <v>₹0-1,500</v>
      </c>
    </row>
    <row r="10" spans="1:17">
      <c r="A10" t="str">
        <f>Festival_Data_Clean!A10</f>
        <v>Bollywood Music Project</v>
      </c>
      <c r="B10">
        <f>Festival_Data_Clean!G10</f>
        <v>4191</v>
      </c>
      <c r="C10">
        <f>Festival_Data_Clean!H10</f>
        <v>21248.01</v>
      </c>
      <c r="D10">
        <f>Festival_Data_Clean!K10</f>
        <v>81824709</v>
      </c>
      <c r="E10" t="str">
        <f t="shared" si="0"/>
        <v>₹3,001-4,500</v>
      </c>
    </row>
    <row r="11" spans="1:17">
      <c r="A11" t="str">
        <f>Festival_Data_Clean!A11</f>
        <v>Lollapalooza Mumbai</v>
      </c>
      <c r="B11">
        <f>Festival_Data_Clean!G11</f>
        <v>1823</v>
      </c>
      <c r="C11">
        <f>Festival_Data_Clean!H11</f>
        <v>15513</v>
      </c>
      <c r="D11">
        <f>Festival_Data_Clean!K11</f>
        <v>39768298</v>
      </c>
      <c r="E11" t="str">
        <f t="shared" si="0"/>
        <v>₹1,501-3,000</v>
      </c>
    </row>
    <row r="12" spans="1:17">
      <c r="A12" t="str">
        <f>Festival_Data_Clean!A12</f>
        <v>Hornbill Festival Nagaland</v>
      </c>
      <c r="B12">
        <f>Festival_Data_Clean!G12</f>
        <v>3953.6</v>
      </c>
      <c r="C12">
        <f>Festival_Data_Clean!H12</f>
        <v>21693</v>
      </c>
      <c r="D12">
        <f>Festival_Data_Clean!K12</f>
        <v>75365349</v>
      </c>
      <c r="E12" t="str">
        <f t="shared" si="0"/>
        <v>₹3,001-4,500</v>
      </c>
    </row>
    <row r="13" spans="1:17">
      <c r="A13" t="str">
        <f>Festival_Data_Clean!A13</f>
        <v>Sunburn Goa</v>
      </c>
      <c r="B13">
        <f>Festival_Data_Clean!G13</f>
        <v>2842</v>
      </c>
      <c r="C13">
        <f>Festival_Data_Clean!H13</f>
        <v>24021</v>
      </c>
      <c r="D13">
        <f>Festival_Data_Clean!K13</f>
        <v>76139976</v>
      </c>
      <c r="E13" t="str">
        <f t="shared" si="0"/>
        <v>₹1,501-3,000</v>
      </c>
    </row>
    <row r="14" spans="1:17">
      <c r="A14" t="str">
        <f>Festival_Data_Clean!A14</f>
        <v>Supersonic Bengaluru</v>
      </c>
      <c r="B14">
        <f>Festival_Data_Clean!G14</f>
        <v>528</v>
      </c>
      <c r="C14">
        <f>Festival_Data_Clean!H14</f>
        <v>33241</v>
      </c>
      <c r="D14">
        <f>Festival_Data_Clean!K14</f>
        <v>19328026</v>
      </c>
      <c r="E14" t="str">
        <f t="shared" si="0"/>
        <v>₹0-1,500</v>
      </c>
    </row>
    <row r="15" spans="1:17">
      <c r="A15" t="str">
        <f>Festival_Data_Clean!A15</f>
        <v>Magnetic Fields Rajasthan</v>
      </c>
      <c r="B15">
        <f>Festival_Data_Clean!G15</f>
        <v>1543</v>
      </c>
      <c r="C15">
        <f>Festival_Data_Clean!H15</f>
        <v>19867</v>
      </c>
      <c r="D15">
        <f>Festival_Data_Clean!K15</f>
        <v>36373655</v>
      </c>
      <c r="E15" t="str">
        <f t="shared" si="0"/>
        <v>₹1,501-3,000</v>
      </c>
    </row>
    <row r="16" spans="1:17">
      <c r="A16" t="str">
        <f>Festival_Data_Clean!A16</f>
        <v>Hornbill Festival Nagaland</v>
      </c>
      <c r="B16">
        <f>Festival_Data_Clean!G16</f>
        <v>2188</v>
      </c>
      <c r="C16">
        <f>Festival_Data_Clean!H16</f>
        <v>20603</v>
      </c>
      <c r="D16">
        <f>Festival_Data_Clean!K16</f>
        <v>59239606</v>
      </c>
      <c r="E16" t="str">
        <f t="shared" si="0"/>
        <v>₹1,501-3,000</v>
      </c>
    </row>
    <row r="17" spans="1:5">
      <c r="A17" t="str">
        <f>Festival_Data_Clean!A17</f>
        <v>VH1 Supersonic Delhi</v>
      </c>
      <c r="B17">
        <f>Festival_Data_Clean!G17</f>
        <v>2217.6</v>
      </c>
      <c r="C17">
        <f>Festival_Data_Clean!H17</f>
        <v>9504.6</v>
      </c>
      <c r="D17">
        <f>Festival_Data_Clean!K17</f>
        <v>28195711</v>
      </c>
      <c r="E17" t="str">
        <f t="shared" si="0"/>
        <v>₹1,501-3,000</v>
      </c>
    </row>
    <row r="18" spans="1:5">
      <c r="A18" t="str">
        <f>Festival_Data_Clean!A18</f>
        <v>Lollapalooza Mumbai</v>
      </c>
      <c r="B18">
        <f>Festival_Data_Clean!G18</f>
        <v>5397</v>
      </c>
      <c r="C18">
        <f>Festival_Data_Clean!H18</f>
        <v>9158.1</v>
      </c>
      <c r="D18">
        <f>Festival_Data_Clean!K18</f>
        <v>54311142</v>
      </c>
      <c r="E18" t="str">
        <f t="shared" si="0"/>
        <v>₹4,500+</v>
      </c>
    </row>
    <row r="19" spans="1:5">
      <c r="A19" t="str">
        <f>Festival_Data_Clean!A19</f>
        <v>Ziro Festival Arunachal</v>
      </c>
      <c r="B19">
        <f>Festival_Data_Clean!G19</f>
        <v>1601.6</v>
      </c>
      <c r="C19">
        <f>Festival_Data_Clean!H19</f>
        <v>11790</v>
      </c>
      <c r="D19">
        <f>Festival_Data_Clean!K19</f>
        <v>20153068</v>
      </c>
      <c r="E19" t="str">
        <f t="shared" si="0"/>
        <v>₹1,501-3,000</v>
      </c>
    </row>
    <row r="20" spans="1:5">
      <c r="A20" t="str">
        <f>Festival_Data_Clean!A20</f>
        <v>Ziro Festival Arunachal</v>
      </c>
      <c r="B20">
        <f>Festival_Data_Clean!G20</f>
        <v>4564</v>
      </c>
      <c r="C20">
        <f>Festival_Data_Clean!H20</f>
        <v>31755</v>
      </c>
      <c r="D20">
        <f>Festival_Data_Clean!K20</f>
        <v>156553629</v>
      </c>
      <c r="E20" t="str">
        <f t="shared" si="0"/>
        <v>₹4,500+</v>
      </c>
    </row>
    <row r="21" spans="1:5">
      <c r="A21" t="str">
        <f>Festival_Data_Clean!A21</f>
        <v>Sunburn Goa</v>
      </c>
      <c r="B21">
        <f>Festival_Data_Clean!G21</f>
        <v>3350.2</v>
      </c>
      <c r="C21">
        <f>Festival_Data_Clean!H21</f>
        <v>2975.7</v>
      </c>
      <c r="D21">
        <f>Festival_Data_Clean!K21</f>
        <v>14216078</v>
      </c>
      <c r="E21" t="str">
        <f t="shared" si="0"/>
        <v>₹3,001-4,500</v>
      </c>
    </row>
    <row r="22" spans="1:5">
      <c r="A22" t="str">
        <f>Festival_Data_Clean!A22</f>
        <v>Sunburn Goa</v>
      </c>
      <c r="B22">
        <f>Festival_Data_Clean!G22</f>
        <v>4045</v>
      </c>
      <c r="C22">
        <f>Festival_Data_Clean!H22</f>
        <v>27719</v>
      </c>
      <c r="D22">
        <f>Festival_Data_Clean!K22</f>
        <v>124333833</v>
      </c>
      <c r="E22" t="str">
        <f t="shared" si="0"/>
        <v>₹3,001-4,500</v>
      </c>
    </row>
    <row r="23" spans="1:5">
      <c r="A23" t="str">
        <f>Festival_Data_Clean!A23</f>
        <v>Sunburn Goa</v>
      </c>
      <c r="B23">
        <f>Festival_Data_Clean!G23</f>
        <v>1008</v>
      </c>
      <c r="C23">
        <f>Festival_Data_Clean!H23</f>
        <v>21142</v>
      </c>
      <c r="D23">
        <f>Festival_Data_Clean!K23</f>
        <v>25501892</v>
      </c>
      <c r="E23" t="str">
        <f t="shared" si="0"/>
        <v>₹0-1,500</v>
      </c>
    </row>
    <row r="24" spans="1:5">
      <c r="A24" t="str">
        <f>Festival_Data_Clean!A24</f>
        <v>NH7 Pune</v>
      </c>
      <c r="B24">
        <f>Festival_Data_Clean!G24</f>
        <v>2334</v>
      </c>
      <c r="C24">
        <f>Festival_Data_Clean!H24</f>
        <v>16842</v>
      </c>
      <c r="D24">
        <f>Festival_Data_Clean!K24</f>
        <v>47281463</v>
      </c>
      <c r="E24" t="str">
        <f t="shared" si="0"/>
        <v>₹1,501-3,000</v>
      </c>
    </row>
    <row r="25" spans="1:5">
      <c r="A25" t="str">
        <f>Festival_Data_Clean!A25</f>
        <v>Goa Tribal Festival</v>
      </c>
      <c r="B25">
        <f>Festival_Data_Clean!G25</f>
        <v>2930.05</v>
      </c>
      <c r="C25">
        <f>Festival_Data_Clean!H25</f>
        <v>14456</v>
      </c>
      <c r="D25">
        <f>Festival_Data_Clean!K25</f>
        <v>41090442</v>
      </c>
      <c r="E25" t="str">
        <f t="shared" si="0"/>
        <v>₹1,501-3,000</v>
      </c>
    </row>
    <row r="26" spans="1:5">
      <c r="A26" t="str">
        <f>Festival_Data_Clean!A26</f>
        <v>Magnetic Fields Rajasthan</v>
      </c>
      <c r="B26">
        <f>Festival_Data_Clean!G26</f>
        <v>3977</v>
      </c>
      <c r="C26">
        <f>Festival_Data_Clean!H26</f>
        <v>25243</v>
      </c>
      <c r="D26">
        <f>Festival_Data_Clean!K26</f>
        <v>114319692</v>
      </c>
      <c r="E26" t="str">
        <f t="shared" si="0"/>
        <v>₹3,001-4,500</v>
      </c>
    </row>
    <row r="27" spans="1:5">
      <c r="A27" t="str">
        <f>Festival_Data_Clean!A27</f>
        <v>Sunburn Goa</v>
      </c>
      <c r="B27">
        <f>Festival_Data_Clean!G27</f>
        <v>3449</v>
      </c>
      <c r="C27">
        <f>Festival_Data_Clean!H27</f>
        <v>13539</v>
      </c>
      <c r="D27">
        <f>Festival_Data_Clean!K27</f>
        <v>55840288</v>
      </c>
      <c r="E27" t="str">
        <f t="shared" si="0"/>
        <v>₹3,001-4,500</v>
      </c>
    </row>
    <row r="28" spans="1:5">
      <c r="A28" t="str">
        <f>Festival_Data_Clean!A28</f>
        <v>Hornbill Festival Nagaland</v>
      </c>
      <c r="B28">
        <f>Festival_Data_Clean!G28</f>
        <v>3668</v>
      </c>
      <c r="C28">
        <f>Festival_Data_Clean!H28</f>
        <v>36462</v>
      </c>
      <c r="D28">
        <f>Festival_Data_Clean!K28</f>
        <v>141370736</v>
      </c>
      <c r="E28" t="str">
        <f t="shared" si="0"/>
        <v>₹3,001-4,500</v>
      </c>
    </row>
    <row r="29" spans="1:5">
      <c r="A29" t="str">
        <f>Festival_Data_Clean!A29</f>
        <v>NH7 Pune</v>
      </c>
      <c r="B29">
        <f>Festival_Data_Clean!G29</f>
        <v>3279</v>
      </c>
      <c r="C29">
        <f>Festival_Data_Clean!H29</f>
        <v>32540</v>
      </c>
      <c r="D29">
        <f>Festival_Data_Clean!K29</f>
        <v>122880810</v>
      </c>
      <c r="E29" t="str">
        <f t="shared" si="0"/>
        <v>₹3,001-4,500</v>
      </c>
    </row>
    <row r="30" spans="1:5">
      <c r="A30" t="str">
        <f>Festival_Data_Clean!A30</f>
        <v>NH7 Pune</v>
      </c>
      <c r="B30">
        <f>Festival_Data_Clean!G30</f>
        <v>2948</v>
      </c>
      <c r="C30">
        <f>Festival_Data_Clean!H30</f>
        <v>9316</v>
      </c>
      <c r="D30">
        <f>Festival_Data_Clean!K30</f>
        <v>31435366</v>
      </c>
      <c r="E30" t="str">
        <f t="shared" si="0"/>
        <v>₹1,501-3,000</v>
      </c>
    </row>
    <row r="31" spans="1:5">
      <c r="A31" t="str">
        <f>Festival_Data_Clean!A31</f>
        <v>NH7 Pune</v>
      </c>
      <c r="B31">
        <f>Festival_Data_Clean!G31</f>
        <v>2749.6</v>
      </c>
      <c r="C31">
        <f>Festival_Data_Clean!H31</f>
        <v>17172</v>
      </c>
      <c r="D31">
        <f>Festival_Data_Clean!K31</f>
        <v>45513167</v>
      </c>
      <c r="E31" t="str">
        <f t="shared" si="0"/>
        <v>₹1,501-3,000</v>
      </c>
    </row>
    <row r="32" spans="1:5">
      <c r="A32" t="str">
        <f>Festival_Data_Clean!A32</f>
        <v>Ziro Festival Arunachal</v>
      </c>
      <c r="B32">
        <f>Festival_Data_Clean!G32</f>
        <v>4503</v>
      </c>
      <c r="C32">
        <f>Festival_Data_Clean!H32</f>
        <v>16737</v>
      </c>
      <c r="D32">
        <f>Festival_Data_Clean!K32</f>
        <v>85424449</v>
      </c>
      <c r="E32" t="str">
        <f t="shared" si="0"/>
        <v>₹4,500+</v>
      </c>
    </row>
    <row r="33" spans="1:5">
      <c r="A33" t="str">
        <f>Festival_Data_Clean!A33</f>
        <v>NH7 Pune</v>
      </c>
      <c r="B33">
        <f>Festival_Data_Clean!G33</f>
        <v>632</v>
      </c>
      <c r="C33">
        <f>Festival_Data_Clean!H33</f>
        <v>35304</v>
      </c>
      <c r="D33">
        <f>Festival_Data_Clean!K33</f>
        <v>34282241</v>
      </c>
      <c r="E33" t="str">
        <f t="shared" si="0"/>
        <v>₹0-1,500</v>
      </c>
    </row>
    <row r="34" spans="1:5">
      <c r="A34" t="str">
        <f>Festival_Data_Clean!A34</f>
        <v>Goa Tribal Festival</v>
      </c>
      <c r="B34">
        <f>Festival_Data_Clean!G34</f>
        <v>1932</v>
      </c>
      <c r="C34">
        <f>Festival_Data_Clean!H34</f>
        <v>16841</v>
      </c>
      <c r="D34">
        <f>Festival_Data_Clean!K34</f>
        <v>44988754</v>
      </c>
      <c r="E34" t="str">
        <f t="shared" si="0"/>
        <v>₹1,501-3,000</v>
      </c>
    </row>
    <row r="35" spans="1:5">
      <c r="A35" t="str">
        <f>Festival_Data_Clean!A35</f>
        <v>Ziro Festival Arunachal</v>
      </c>
      <c r="B35">
        <f>Festival_Data_Clean!G35</f>
        <v>1598.8</v>
      </c>
      <c r="C35">
        <f>Festival_Data_Clean!H35</f>
        <v>18210.5</v>
      </c>
      <c r="D35">
        <f>Festival_Data_Clean!K35</f>
        <v>39274422</v>
      </c>
      <c r="E35" t="str">
        <f t="shared" si="0"/>
        <v>₹1,501-3,000</v>
      </c>
    </row>
    <row r="36" spans="1:5">
      <c r="A36" t="str">
        <f>Festival_Data_Clean!A36</f>
        <v>NH7 Pune</v>
      </c>
      <c r="B36">
        <f>Festival_Data_Clean!G36</f>
        <v>1933</v>
      </c>
      <c r="C36">
        <f>Festival_Data_Clean!H36</f>
        <v>58687.199999999997</v>
      </c>
      <c r="D36">
        <f>Festival_Data_Clean!K36</f>
        <v>104681231</v>
      </c>
      <c r="E36" t="str">
        <f t="shared" si="0"/>
        <v>₹1,501-3,000</v>
      </c>
    </row>
    <row r="37" spans="1:5">
      <c r="A37" t="str">
        <f>Festival_Data_Clean!A37</f>
        <v>Lollapalooza Mumbai</v>
      </c>
      <c r="B37">
        <f>Festival_Data_Clean!G37</f>
        <v>1824</v>
      </c>
      <c r="C37">
        <f>Festival_Data_Clean!H37</f>
        <v>7559.5</v>
      </c>
      <c r="D37">
        <f>Festival_Data_Clean!K37</f>
        <v>21654174</v>
      </c>
      <c r="E37" t="str">
        <f t="shared" si="0"/>
        <v>₹1,501-3,000</v>
      </c>
    </row>
    <row r="38" spans="1:5">
      <c r="A38" t="str">
        <f>Festival_Data_Clean!A38</f>
        <v>VH1 Supersonic Delhi</v>
      </c>
      <c r="B38">
        <f>Festival_Data_Clean!G38</f>
        <v>4452</v>
      </c>
      <c r="C38">
        <f>Festival_Data_Clean!H38</f>
        <v>31745</v>
      </c>
      <c r="D38">
        <f>Festival_Data_Clean!K38</f>
        <v>149833015</v>
      </c>
      <c r="E38" t="str">
        <f t="shared" si="0"/>
        <v>₹3,001-4,500</v>
      </c>
    </row>
    <row r="39" spans="1:5">
      <c r="A39" t="str">
        <f>Festival_Data_Clean!A39</f>
        <v>Bollywood Music Project</v>
      </c>
      <c r="B39">
        <f>Festival_Data_Clean!G39</f>
        <v>2716</v>
      </c>
      <c r="C39">
        <f>Festival_Data_Clean!H39</f>
        <v>12688</v>
      </c>
      <c r="D39">
        <f>Festival_Data_Clean!K39</f>
        <v>38361278</v>
      </c>
      <c r="E39" t="str">
        <f t="shared" si="0"/>
        <v>₹1,501-3,000</v>
      </c>
    </row>
    <row r="40" spans="1:5">
      <c r="A40" t="str">
        <f>Festival_Data_Clean!A40</f>
        <v>Sunburn Goa</v>
      </c>
      <c r="B40">
        <f>Festival_Data_Clean!G40</f>
        <v>2237</v>
      </c>
      <c r="C40">
        <f>Festival_Data_Clean!H40</f>
        <v>20276</v>
      </c>
      <c r="D40">
        <f>Festival_Data_Clean!K40</f>
        <v>59941398</v>
      </c>
      <c r="E40" t="str">
        <f t="shared" si="0"/>
        <v>₹1,501-3,000</v>
      </c>
    </row>
    <row r="41" spans="1:5">
      <c r="A41" t="str">
        <f>Festival_Data_Clean!A41</f>
        <v>Bollywood Music Project</v>
      </c>
      <c r="B41">
        <f>Festival_Data_Clean!G41</f>
        <v>1412</v>
      </c>
      <c r="C41">
        <f>Festival_Data_Clean!H41</f>
        <v>21248.01</v>
      </c>
      <c r="D41">
        <f>Festival_Data_Clean!K41</f>
        <v>61435521</v>
      </c>
      <c r="E41" t="str">
        <f t="shared" si="0"/>
        <v>₹0-1,500</v>
      </c>
    </row>
    <row r="42" spans="1:5">
      <c r="A42" t="str">
        <f>Festival_Data_Clean!A42</f>
        <v>Bollywood Music Project</v>
      </c>
      <c r="B42">
        <f>Festival_Data_Clean!G42</f>
        <v>836</v>
      </c>
      <c r="C42">
        <f>Festival_Data_Clean!H42</f>
        <v>56160</v>
      </c>
      <c r="D42">
        <f>Festival_Data_Clean!K42</f>
        <v>55773126</v>
      </c>
      <c r="E42" t="str">
        <f t="shared" si="0"/>
        <v>₹0-1,500</v>
      </c>
    </row>
    <row r="43" spans="1:5">
      <c r="A43" t="str">
        <f>Festival_Data_Clean!A43</f>
        <v>Bollywood Music Project</v>
      </c>
      <c r="B43">
        <f>Festival_Data_Clean!G43</f>
        <v>625</v>
      </c>
      <c r="C43">
        <f>Festival_Data_Clean!H43</f>
        <v>34043.1</v>
      </c>
      <c r="D43">
        <f>Festival_Data_Clean!K43</f>
        <v>30556292</v>
      </c>
      <c r="E43" t="str">
        <f t="shared" si="0"/>
        <v>₹0-1,500</v>
      </c>
    </row>
    <row r="44" spans="1:5">
      <c r="A44" t="str">
        <f>Festival_Data_Clean!A44</f>
        <v>Lollapalooza Mumbai</v>
      </c>
      <c r="B44">
        <f>Festival_Data_Clean!G44</f>
        <v>4629</v>
      </c>
      <c r="C44">
        <f>Festival_Data_Clean!H44</f>
        <v>34318</v>
      </c>
      <c r="D44">
        <f>Festival_Data_Clean!K44</f>
        <v>167002302</v>
      </c>
      <c r="E44" t="str">
        <f t="shared" si="0"/>
        <v>₹4,500+</v>
      </c>
    </row>
    <row r="45" spans="1:5">
      <c r="A45" t="str">
        <f>Festival_Data_Clean!A45</f>
        <v>Lollapalooza Mumbai</v>
      </c>
      <c r="B45">
        <f>Festival_Data_Clean!G45</f>
        <v>3412</v>
      </c>
      <c r="C45">
        <f>Festival_Data_Clean!H45</f>
        <v>22029</v>
      </c>
      <c r="D45">
        <f>Festival_Data_Clean!K45</f>
        <v>86985677</v>
      </c>
      <c r="E45" t="str">
        <f t="shared" si="0"/>
        <v>₹3,001-4,500</v>
      </c>
    </row>
    <row r="46" spans="1:5">
      <c r="A46" t="str">
        <f>Festival_Data_Clean!A46</f>
        <v>Hornbill Festival Nagaland</v>
      </c>
      <c r="B46">
        <f>Festival_Data_Clean!G46</f>
        <v>2105</v>
      </c>
      <c r="C46">
        <f>Festival_Data_Clean!H46</f>
        <v>52642.2</v>
      </c>
      <c r="D46">
        <f>Festival_Data_Clean!K46</f>
        <v>105043029</v>
      </c>
      <c r="E46" t="str">
        <f t="shared" si="0"/>
        <v>₹1,501-3,000</v>
      </c>
    </row>
    <row r="47" spans="1:5">
      <c r="A47" t="str">
        <f>Festival_Data_Clean!A47</f>
        <v>Ziro Festival Arunachal</v>
      </c>
      <c r="B47">
        <f>Festival_Data_Clean!G47</f>
        <v>737</v>
      </c>
      <c r="C47">
        <f>Festival_Data_Clean!H47</f>
        <v>28345.200000000001</v>
      </c>
      <c r="D47">
        <f>Festival_Data_Clean!K47</f>
        <v>23928844</v>
      </c>
      <c r="E47" t="str">
        <f t="shared" si="0"/>
        <v>₹0-1,500</v>
      </c>
    </row>
    <row r="48" spans="1:5">
      <c r="A48" t="str">
        <f>Festival_Data_Clean!A48</f>
        <v>Sunburn Goa</v>
      </c>
      <c r="B48">
        <f>Festival_Data_Clean!G48</f>
        <v>933</v>
      </c>
      <c r="C48">
        <f>Festival_Data_Clean!H48</f>
        <v>31752</v>
      </c>
      <c r="D48">
        <f>Festival_Data_Clean!K48</f>
        <v>36325645</v>
      </c>
      <c r="E48" t="str">
        <f t="shared" si="0"/>
        <v>₹0-1,500</v>
      </c>
    </row>
    <row r="49" spans="1:5">
      <c r="A49" t="str">
        <f>Festival_Data_Clean!A49</f>
        <v>Ziro Festival Arunachal</v>
      </c>
      <c r="B49">
        <f>Festival_Data_Clean!G49</f>
        <v>4503</v>
      </c>
      <c r="C49">
        <f>Festival_Data_Clean!H49</f>
        <v>7651</v>
      </c>
      <c r="D49">
        <f>Festival_Data_Clean!K49</f>
        <v>38620299</v>
      </c>
      <c r="E49" t="str">
        <f t="shared" si="0"/>
        <v>₹4,500+</v>
      </c>
    </row>
    <row r="50" spans="1:5">
      <c r="A50" t="str">
        <f>Festival_Data_Clean!A50</f>
        <v>Supersonic Bengaluru</v>
      </c>
      <c r="B50">
        <f>Festival_Data_Clean!G50</f>
        <v>2615.1999999999998</v>
      </c>
      <c r="C50">
        <f>Festival_Data_Clean!H50</f>
        <v>6000</v>
      </c>
      <c r="D50">
        <f>Festival_Data_Clean!K50</f>
        <v>16711793</v>
      </c>
      <c r="E50" t="str">
        <f t="shared" si="0"/>
        <v>₹1,501-3,000</v>
      </c>
    </row>
    <row r="51" spans="1:5">
      <c r="A51" t="str">
        <f>Festival_Data_Clean!A51</f>
        <v>Supersonic Bengaluru</v>
      </c>
      <c r="B51">
        <f>Festival_Data_Clean!G51</f>
        <v>4046</v>
      </c>
      <c r="C51">
        <f>Festival_Data_Clean!H51</f>
        <v>32925.1</v>
      </c>
      <c r="D51">
        <f>Festival_Data_Clean!K51</f>
        <v>108614880</v>
      </c>
      <c r="E51" t="str">
        <f t="shared" si="0"/>
        <v>₹3,001-4,500</v>
      </c>
    </row>
    <row r="52" spans="1:5">
      <c r="A52" t="str">
        <f>Festival_Data_Clean!A52</f>
        <v>VH1 Supersonic Delhi</v>
      </c>
      <c r="B52">
        <f>Festival_Data_Clean!G52</f>
        <v>4613</v>
      </c>
      <c r="C52">
        <f>Festival_Data_Clean!H52</f>
        <v>9412.2000000000007</v>
      </c>
      <c r="D52">
        <f>Festival_Data_Clean!K52</f>
        <v>54199458</v>
      </c>
      <c r="E52" t="str">
        <f t="shared" si="0"/>
        <v>₹4,500+</v>
      </c>
    </row>
    <row r="53" spans="1:5">
      <c r="A53" t="str">
        <f>Festival_Data_Clean!A53</f>
        <v>VH1 Supersonic Delhi</v>
      </c>
      <c r="B53">
        <f>Festival_Data_Clean!G53</f>
        <v>3437</v>
      </c>
      <c r="C53">
        <f>Festival_Data_Clean!H53</f>
        <v>17457</v>
      </c>
      <c r="D53">
        <f>Festival_Data_Clean!K53</f>
        <v>68617287</v>
      </c>
      <c r="E53" t="str">
        <f t="shared" si="0"/>
        <v>₹3,001-4,500</v>
      </c>
    </row>
    <row r="54" spans="1:5">
      <c r="A54" t="str">
        <f>Festival_Data_Clean!A54</f>
        <v>Supersonic Bengaluru</v>
      </c>
      <c r="B54">
        <f>Festival_Data_Clean!G54</f>
        <v>2167</v>
      </c>
      <c r="C54">
        <f>Festival_Data_Clean!H54</f>
        <v>23456</v>
      </c>
      <c r="D54">
        <f>Festival_Data_Clean!K54</f>
        <v>63790395</v>
      </c>
      <c r="E54" t="str">
        <f t="shared" si="0"/>
        <v>₹1,501-3,000</v>
      </c>
    </row>
    <row r="55" spans="1:5">
      <c r="A55" t="str">
        <f>Festival_Data_Clean!A55</f>
        <v>VH1 Supersonic Delhi</v>
      </c>
      <c r="B55">
        <f>Festival_Data_Clean!G55</f>
        <v>2289</v>
      </c>
      <c r="C55">
        <f>Festival_Data_Clean!H55</f>
        <v>12636.4</v>
      </c>
      <c r="D55">
        <f>Festival_Data_Clean!K55</f>
        <v>36779334</v>
      </c>
      <c r="E55" t="str">
        <f t="shared" si="0"/>
        <v>₹1,501-3,000</v>
      </c>
    </row>
    <row r="56" spans="1:5">
      <c r="A56" t="str">
        <f>Festival_Data_Clean!A56</f>
        <v>Ziro Festival Arunachal</v>
      </c>
      <c r="B56">
        <f>Festival_Data_Clean!G56</f>
        <v>2495</v>
      </c>
      <c r="C56">
        <f>Festival_Data_Clean!H56</f>
        <v>26922</v>
      </c>
      <c r="D56">
        <f>Festival_Data_Clean!K56</f>
        <v>339617008</v>
      </c>
      <c r="E56" t="str">
        <f t="shared" si="0"/>
        <v>₹1,501-3,000</v>
      </c>
    </row>
    <row r="57" spans="1:5">
      <c r="A57" t="str">
        <f>Festival_Data_Clean!A57</f>
        <v>Magnetic Fields Rajasthan</v>
      </c>
      <c r="B57">
        <f>Festival_Data_Clean!G57</f>
        <v>1244.5999999999999</v>
      </c>
      <c r="C57">
        <f>Festival_Data_Clean!H57</f>
        <v>23400.3</v>
      </c>
      <c r="D57">
        <f>Festival_Data_Clean!K57</f>
        <v>41507304</v>
      </c>
      <c r="E57" t="str">
        <f t="shared" si="0"/>
        <v>₹0-1,500</v>
      </c>
    </row>
    <row r="58" spans="1:5">
      <c r="A58" t="str">
        <f>Festival_Data_Clean!A58</f>
        <v>Sunburn Goa</v>
      </c>
      <c r="B58">
        <f>Festival_Data_Clean!G58</f>
        <v>4120</v>
      </c>
      <c r="C58">
        <f>Festival_Data_Clean!H58</f>
        <v>11366.6</v>
      </c>
      <c r="D58">
        <f>Festival_Data_Clean!K58</f>
        <v>93103121</v>
      </c>
      <c r="E58" t="str">
        <f t="shared" si="0"/>
        <v>₹3,001-4,500</v>
      </c>
    </row>
    <row r="59" spans="1:5">
      <c r="A59" t="str">
        <f>Festival_Data_Clean!A59</f>
        <v>Magnetic Fields Rajasthan</v>
      </c>
      <c r="B59">
        <f>Festival_Data_Clean!G59</f>
        <v>2930.05</v>
      </c>
      <c r="C59">
        <f>Festival_Data_Clean!H59</f>
        <v>21249.01</v>
      </c>
      <c r="D59">
        <f>Festival_Data_Clean!K59</f>
        <v>15717666</v>
      </c>
      <c r="E59" t="str">
        <f t="shared" si="0"/>
        <v>₹1,501-3,000</v>
      </c>
    </row>
    <row r="60" spans="1:5">
      <c r="A60" t="str">
        <f>Festival_Data_Clean!A60</f>
        <v>Goa Tribal Festival</v>
      </c>
      <c r="B60">
        <f>Festival_Data_Clean!G60</f>
        <v>4459</v>
      </c>
      <c r="C60">
        <f>Festival_Data_Clean!H60</f>
        <v>19021.099999999999</v>
      </c>
      <c r="D60">
        <f>Festival_Data_Clean!K60</f>
        <v>99851469</v>
      </c>
      <c r="E60" t="str">
        <f t="shared" si="0"/>
        <v>₹3,001-4,500</v>
      </c>
    </row>
    <row r="61" spans="1:5">
      <c r="A61" t="str">
        <f>Festival_Data_Clean!A61</f>
        <v>Ziro Festival Arunachal</v>
      </c>
      <c r="B61">
        <f>Festival_Data_Clean!G61</f>
        <v>3984</v>
      </c>
      <c r="C61">
        <f>Festival_Data_Clean!H61</f>
        <v>31020</v>
      </c>
      <c r="D61">
        <f>Festival_Data_Clean!K61</f>
        <v>122856387</v>
      </c>
      <c r="E61" t="str">
        <f t="shared" si="0"/>
        <v>₹3,001-4,500</v>
      </c>
    </row>
    <row r="62" spans="1:5">
      <c r="A62" t="str">
        <f>Festival_Data_Clean!A62</f>
        <v>Bollywood Music Project</v>
      </c>
      <c r="B62">
        <f>Festival_Data_Clean!G62</f>
        <v>3586</v>
      </c>
      <c r="C62">
        <f>Festival_Data_Clean!H62</f>
        <v>5456</v>
      </c>
      <c r="D62">
        <f>Festival_Data_Clean!K62</f>
        <v>19235476</v>
      </c>
      <c r="E62" t="str">
        <f t="shared" si="0"/>
        <v>₹3,001-4,500</v>
      </c>
    </row>
    <row r="63" spans="1:5">
      <c r="A63" t="str">
        <f>Festival_Data_Clean!A63</f>
        <v>Hornbill Festival Nagaland</v>
      </c>
      <c r="B63">
        <f>Festival_Data_Clean!G63</f>
        <v>4134</v>
      </c>
      <c r="C63">
        <f>Festival_Data_Clean!H63</f>
        <v>37167.599999999999</v>
      </c>
      <c r="D63">
        <f>Festival_Data_Clean!K63</f>
        <v>184975130</v>
      </c>
      <c r="E63" t="str">
        <f t="shared" si="0"/>
        <v>₹3,001-4,500</v>
      </c>
    </row>
    <row r="64" spans="1:5">
      <c r="A64" t="str">
        <f>Festival_Data_Clean!A64</f>
        <v>Bollywood Music Project</v>
      </c>
      <c r="B64">
        <f>Festival_Data_Clean!G64</f>
        <v>5391.4</v>
      </c>
      <c r="C64">
        <f>Festival_Data_Clean!H64</f>
        <v>11355</v>
      </c>
      <c r="D64">
        <f>Festival_Data_Clean!K64</f>
        <v>191967964</v>
      </c>
      <c r="E64" t="str">
        <f t="shared" si="0"/>
        <v>₹4,500+</v>
      </c>
    </row>
    <row r="65" spans="1:5">
      <c r="A65" t="str">
        <f>Festival_Data_Clean!A65</f>
        <v>Sunburn Goa</v>
      </c>
      <c r="B65">
        <f>Festival_Data_Clean!G65</f>
        <v>4045</v>
      </c>
      <c r="C65">
        <f>Festival_Data_Clean!H65</f>
        <v>27719</v>
      </c>
      <c r="D65">
        <f>Festival_Data_Clean!K65</f>
        <v>24290802</v>
      </c>
      <c r="E65" t="str">
        <f t="shared" si="0"/>
        <v>₹3,001-4,500</v>
      </c>
    </row>
    <row r="66" spans="1:5">
      <c r="A66" t="str">
        <f>Festival_Data_Clean!A66</f>
        <v>Goa Tribal Festival</v>
      </c>
      <c r="B66">
        <f>Festival_Data_Clean!G66</f>
        <v>3769</v>
      </c>
      <c r="C66">
        <f>Festival_Data_Clean!H66</f>
        <v>35877</v>
      </c>
      <c r="D66">
        <f>Festival_Data_Clean!K66</f>
        <v>142439273</v>
      </c>
      <c r="E66" t="str">
        <f t="shared" si="0"/>
        <v>₹3,001-4,500</v>
      </c>
    </row>
    <row r="67" spans="1:5">
      <c r="A67" t="str">
        <f>Festival_Data_Clean!A67</f>
        <v>Magnetic Fields Rajasthan</v>
      </c>
      <c r="B67">
        <f>Festival_Data_Clean!G67</f>
        <v>2589</v>
      </c>
      <c r="C67">
        <f>Festival_Data_Clean!H67</f>
        <v>8270</v>
      </c>
      <c r="D67">
        <f>Festival_Data_Clean!K67</f>
        <v>106152468</v>
      </c>
      <c r="E67" t="str">
        <f t="shared" ref="E67:E101" si="7">IF(B67&lt;=1500,"₹0-1,500",IF(B67&lt;=3000,"₹1,501-3,000",IF(B67&lt;=4500,"₹3,001-4,500","₹4,500+")))</f>
        <v>₹1,501-3,000</v>
      </c>
    </row>
    <row r="68" spans="1:5">
      <c r="A68" t="str">
        <f>Festival_Data_Clean!A68</f>
        <v>Sunburn Goa</v>
      </c>
      <c r="B68">
        <f>Festival_Data_Clean!G68</f>
        <v>1867.6</v>
      </c>
      <c r="C68">
        <f>Festival_Data_Clean!H68</f>
        <v>46028</v>
      </c>
      <c r="D68">
        <f>Festival_Data_Clean!K68</f>
        <v>83736540</v>
      </c>
      <c r="E68" t="str">
        <f t="shared" si="7"/>
        <v>₹1,501-3,000</v>
      </c>
    </row>
    <row r="69" spans="1:5">
      <c r="A69" t="str">
        <f>Festival_Data_Clean!A69</f>
        <v>Bollywood Music Project</v>
      </c>
      <c r="B69">
        <f>Festival_Data_Clean!G69</f>
        <v>4078</v>
      </c>
      <c r="C69">
        <f>Festival_Data_Clean!H69</f>
        <v>9560</v>
      </c>
      <c r="D69">
        <f>Festival_Data_Clean!K69</f>
        <v>45084574</v>
      </c>
      <c r="E69" t="str">
        <f t="shared" si="7"/>
        <v>₹3,001-4,500</v>
      </c>
    </row>
    <row r="70" spans="1:5">
      <c r="A70" t="str">
        <f>Festival_Data_Clean!A70</f>
        <v>Goa Tribal Festival</v>
      </c>
      <c r="B70">
        <f>Festival_Data_Clean!G70</f>
        <v>1381</v>
      </c>
      <c r="C70">
        <f>Festival_Data_Clean!H70</f>
        <v>13578</v>
      </c>
      <c r="D70">
        <f>Festival_Data_Clean!K70</f>
        <v>25530014</v>
      </c>
      <c r="E70" t="str">
        <f t="shared" si="7"/>
        <v>₹0-1,500</v>
      </c>
    </row>
    <row r="71" spans="1:5">
      <c r="A71" t="str">
        <f>Festival_Data_Clean!A71</f>
        <v>NH7 Pune</v>
      </c>
      <c r="B71">
        <f>Festival_Data_Clean!G71</f>
        <v>6914.6</v>
      </c>
      <c r="C71">
        <f>Festival_Data_Clean!H71</f>
        <v>40916</v>
      </c>
      <c r="D71">
        <f>Festival_Data_Clean!K71</f>
        <v>225653667</v>
      </c>
      <c r="E71" t="str">
        <f t="shared" si="7"/>
        <v>₹4,500+</v>
      </c>
    </row>
    <row r="72" spans="1:5">
      <c r="A72" t="str">
        <f>Festival_Data_Clean!A72</f>
        <v>VH1 Supersonic Delhi</v>
      </c>
      <c r="B72">
        <f>Festival_Data_Clean!G72</f>
        <v>2817</v>
      </c>
      <c r="C72">
        <f>Festival_Data_Clean!H72</f>
        <v>13994</v>
      </c>
      <c r="D72">
        <f>Festival_Data_Clean!K72</f>
        <v>49629343</v>
      </c>
      <c r="E72" t="str">
        <f t="shared" si="7"/>
        <v>₹1,501-3,000</v>
      </c>
    </row>
    <row r="73" spans="1:5">
      <c r="A73" t="str">
        <f>Festival_Data_Clean!A73</f>
        <v>Goa Tribal Festival</v>
      </c>
      <c r="B73">
        <f>Festival_Data_Clean!G73</f>
        <v>2937</v>
      </c>
      <c r="C73">
        <f>Festival_Data_Clean!H73</f>
        <v>14499</v>
      </c>
      <c r="D73">
        <f>Festival_Data_Clean!K73</f>
        <v>51102109</v>
      </c>
      <c r="E73" t="str">
        <f t="shared" si="7"/>
        <v>₹1,501-3,000</v>
      </c>
    </row>
    <row r="74" spans="1:5">
      <c r="A74" t="str">
        <f>Festival_Data_Clean!A74</f>
        <v>Sunburn Goa</v>
      </c>
      <c r="B74">
        <f>Festival_Data_Clean!G74</f>
        <v>3235.4</v>
      </c>
      <c r="C74">
        <f>Festival_Data_Clean!H74</f>
        <v>15002</v>
      </c>
      <c r="D74">
        <f>Festival_Data_Clean!K74</f>
        <v>43592819</v>
      </c>
      <c r="E74" t="str">
        <f t="shared" si="7"/>
        <v>₹3,001-4,500</v>
      </c>
    </row>
    <row r="75" spans="1:5">
      <c r="A75" t="str">
        <f>Festival_Data_Clean!A75</f>
        <v>NH7 Pune</v>
      </c>
      <c r="B75">
        <f>Festival_Data_Clean!G75</f>
        <v>2224.6</v>
      </c>
      <c r="C75">
        <f>Festival_Data_Clean!H75</f>
        <v>23169</v>
      </c>
      <c r="D75">
        <f>Festival_Data_Clean!K75</f>
        <v>46917337</v>
      </c>
      <c r="E75" t="str">
        <f t="shared" si="7"/>
        <v>₹1,501-3,000</v>
      </c>
    </row>
    <row r="76" spans="1:5">
      <c r="A76" t="str">
        <f>Festival_Data_Clean!A76</f>
        <v>Supersonic Bengaluru</v>
      </c>
      <c r="B76">
        <f>Festival_Data_Clean!G76</f>
        <v>2679.6</v>
      </c>
      <c r="C76">
        <f>Festival_Data_Clean!H76</f>
        <v>21248.01</v>
      </c>
      <c r="D76">
        <f>Festival_Data_Clean!K76</f>
        <v>23346669</v>
      </c>
      <c r="E76" t="str">
        <f t="shared" si="7"/>
        <v>₹1,501-3,000</v>
      </c>
    </row>
    <row r="77" spans="1:5">
      <c r="A77" t="str">
        <f>Festival_Data_Clean!A77</f>
        <v>Magnetic Fields Rajasthan</v>
      </c>
      <c r="B77">
        <f>Festival_Data_Clean!G77</f>
        <v>2567</v>
      </c>
      <c r="C77">
        <f>Festival_Data_Clean!H77</f>
        <v>4240</v>
      </c>
      <c r="D77">
        <f>Festival_Data_Clean!K77</f>
        <v>14443722</v>
      </c>
      <c r="E77" t="str">
        <f t="shared" si="7"/>
        <v>₹1,501-3,000</v>
      </c>
    </row>
    <row r="78" spans="1:5">
      <c r="A78" t="str">
        <f>Festival_Data_Clean!A78</f>
        <v>Hornbill Festival Nagaland</v>
      </c>
      <c r="B78">
        <f>Festival_Data_Clean!G78</f>
        <v>6972</v>
      </c>
      <c r="C78">
        <f>Festival_Data_Clean!H78</f>
        <v>21681.1</v>
      </c>
      <c r="D78">
        <f>Festival_Data_Clean!K78</f>
        <v>170631572</v>
      </c>
      <c r="E78" t="str">
        <f t="shared" si="7"/>
        <v>₹4,500+</v>
      </c>
    </row>
    <row r="79" spans="1:5">
      <c r="A79" t="str">
        <f>Festival_Data_Clean!A79</f>
        <v>Hornbill Festival Nagaland</v>
      </c>
      <c r="B79">
        <f>Festival_Data_Clean!G79</f>
        <v>3668</v>
      </c>
      <c r="C79">
        <f>Festival_Data_Clean!H79</f>
        <v>32900</v>
      </c>
      <c r="D79">
        <f>Festival_Data_Clean!K79</f>
        <v>126301230</v>
      </c>
      <c r="E79" t="str">
        <f t="shared" si="7"/>
        <v>₹3,001-4,500</v>
      </c>
    </row>
    <row r="80" spans="1:5">
      <c r="A80" t="str">
        <f>Festival_Data_Clean!A80</f>
        <v>Sunburn Goa</v>
      </c>
      <c r="B80">
        <f>Festival_Data_Clean!G80</f>
        <v>4765.6000000000004</v>
      </c>
      <c r="C80">
        <f>Festival_Data_Clean!H80</f>
        <v>11366.6</v>
      </c>
      <c r="D80">
        <f>Festival_Data_Clean!K80</f>
        <v>64588411</v>
      </c>
      <c r="E80" t="str">
        <f t="shared" si="7"/>
        <v>₹4,500+</v>
      </c>
    </row>
    <row r="81" spans="1:5">
      <c r="A81" t="str">
        <f>Festival_Data_Clean!A81</f>
        <v>Supersonic Bengaluru</v>
      </c>
      <c r="B81">
        <f>Festival_Data_Clean!G81</f>
        <v>3243</v>
      </c>
      <c r="C81">
        <f>Festival_Data_Clean!H81</f>
        <v>5362</v>
      </c>
      <c r="D81">
        <f>Festival_Data_Clean!K81</f>
        <v>22387950</v>
      </c>
      <c r="E81" t="str">
        <f t="shared" si="7"/>
        <v>₹3,001-4,500</v>
      </c>
    </row>
    <row r="82" spans="1:5">
      <c r="A82" t="str">
        <f>Festival_Data_Clean!A82</f>
        <v>Supersonic Bengaluru</v>
      </c>
      <c r="B82">
        <f>Festival_Data_Clean!G82</f>
        <v>1599</v>
      </c>
      <c r="C82">
        <f>Festival_Data_Clean!H82</f>
        <v>6748</v>
      </c>
      <c r="D82">
        <f>Festival_Data_Clean!K82</f>
        <v>15126408</v>
      </c>
      <c r="E82" t="str">
        <f t="shared" si="7"/>
        <v>₹1,501-3,000</v>
      </c>
    </row>
    <row r="83" spans="1:5">
      <c r="A83" t="str">
        <f>Festival_Data_Clean!A83</f>
        <v>Supersonic Bengaluru</v>
      </c>
      <c r="B83">
        <f>Festival_Data_Clean!G83</f>
        <v>1180</v>
      </c>
      <c r="C83">
        <f>Festival_Data_Clean!H83</f>
        <v>11979</v>
      </c>
      <c r="D83">
        <f>Festival_Data_Clean!K83</f>
        <v>19625632</v>
      </c>
      <c r="E83" t="str">
        <f t="shared" si="7"/>
        <v>₹0-1,500</v>
      </c>
    </row>
    <row r="84" spans="1:5">
      <c r="A84" t="str">
        <f>Festival_Data_Clean!A84</f>
        <v>Lollapalooza Mumbai</v>
      </c>
      <c r="B84">
        <f>Festival_Data_Clean!G84</f>
        <v>3928</v>
      </c>
      <c r="C84">
        <f>Festival_Data_Clean!H84</f>
        <v>45372.6</v>
      </c>
      <c r="D84">
        <f>Festival_Data_Clean!K84</f>
        <v>152681973</v>
      </c>
      <c r="E84" t="str">
        <f t="shared" si="7"/>
        <v>₹3,001-4,500</v>
      </c>
    </row>
    <row r="85" spans="1:5">
      <c r="A85" t="str">
        <f>Festival_Data_Clean!A85</f>
        <v>Lollapalooza Mumbai</v>
      </c>
      <c r="B85">
        <f>Festival_Data_Clean!G85</f>
        <v>929</v>
      </c>
      <c r="C85">
        <f>Festival_Data_Clean!H85</f>
        <v>17678</v>
      </c>
      <c r="D85">
        <f>Festival_Data_Clean!K85</f>
        <v>23974603</v>
      </c>
      <c r="E85" t="str">
        <f t="shared" si="7"/>
        <v>₹0-1,500</v>
      </c>
    </row>
    <row r="86" spans="1:5">
      <c r="A86" t="str">
        <f>Festival_Data_Clean!A86</f>
        <v>Lollapalooza Mumbai</v>
      </c>
      <c r="B86">
        <f>Festival_Data_Clean!G86</f>
        <v>1824</v>
      </c>
      <c r="C86">
        <f>Festival_Data_Clean!H86</f>
        <v>11076</v>
      </c>
      <c r="D86">
        <f>Festival_Data_Clean!K86</f>
        <v>26980357</v>
      </c>
      <c r="E86" t="str">
        <f t="shared" si="7"/>
        <v>₹1,501-3,000</v>
      </c>
    </row>
    <row r="87" spans="1:5">
      <c r="A87" t="str">
        <f>Festival_Data_Clean!A87</f>
        <v>Ziro Festival Arunachal</v>
      </c>
      <c r="B87">
        <f>Festival_Data_Clean!G87</f>
        <v>3034</v>
      </c>
      <c r="C87">
        <f>Festival_Data_Clean!H87</f>
        <v>9525</v>
      </c>
      <c r="D87">
        <f>Festival_Data_Clean!K87</f>
        <v>30825256</v>
      </c>
      <c r="E87" t="str">
        <f t="shared" si="7"/>
        <v>₹3,001-4,500</v>
      </c>
    </row>
    <row r="88" spans="1:5">
      <c r="A88" t="str">
        <f>Festival_Data_Clean!A88</f>
        <v>Sunburn Goa</v>
      </c>
      <c r="B88">
        <f>Festival_Data_Clean!G88</f>
        <v>798</v>
      </c>
      <c r="C88">
        <f>Festival_Data_Clean!H88</f>
        <v>21248.01</v>
      </c>
      <c r="D88">
        <f>Festival_Data_Clean!K88</f>
        <v>16292499</v>
      </c>
      <c r="E88" t="str">
        <f t="shared" si="7"/>
        <v>₹0-1,500</v>
      </c>
    </row>
    <row r="89" spans="1:5">
      <c r="A89" t="str">
        <f>Festival_Data_Clean!A89</f>
        <v>VH1 Supersonic Delhi</v>
      </c>
      <c r="B89">
        <f>Festival_Data_Clean!G89</f>
        <v>2753</v>
      </c>
      <c r="C89">
        <f>Festival_Data_Clean!H89</f>
        <v>7762</v>
      </c>
      <c r="D89">
        <f>Festival_Data_Clean!K89</f>
        <v>26701574</v>
      </c>
      <c r="E89" t="str">
        <f t="shared" si="7"/>
        <v>₹1,501-3,000</v>
      </c>
    </row>
    <row r="90" spans="1:5">
      <c r="A90" t="str">
        <f>Festival_Data_Clean!A90</f>
        <v>Magnetic Fields Rajasthan</v>
      </c>
      <c r="B90">
        <f>Festival_Data_Clean!G90</f>
        <v>2609</v>
      </c>
      <c r="C90">
        <f>Festival_Data_Clean!H90</f>
        <v>27598</v>
      </c>
      <c r="D90">
        <f>Festival_Data_Clean!K90</f>
        <v>88781374</v>
      </c>
      <c r="E90" t="str">
        <f t="shared" si="7"/>
        <v>₹1,501-3,000</v>
      </c>
    </row>
    <row r="91" spans="1:5">
      <c r="A91" t="str">
        <f>Festival_Data_Clean!A91</f>
        <v>Bollywood Music Project</v>
      </c>
      <c r="B91">
        <f>Festival_Data_Clean!G91</f>
        <v>4418</v>
      </c>
      <c r="C91">
        <f>Festival_Data_Clean!H91</f>
        <v>8702</v>
      </c>
      <c r="D91">
        <f>Festival_Data_Clean!K91</f>
        <v>42341199</v>
      </c>
      <c r="E91" t="str">
        <f t="shared" si="7"/>
        <v>₹3,001-4,500</v>
      </c>
    </row>
    <row r="92" spans="1:5">
      <c r="A92" t="str">
        <f>Festival_Data_Clean!A92</f>
        <v>VH1 Supersonic Delhi</v>
      </c>
      <c r="B92">
        <f>Festival_Data_Clean!G92</f>
        <v>4849</v>
      </c>
      <c r="C92">
        <f>Festival_Data_Clean!H92</f>
        <v>8214</v>
      </c>
      <c r="D92">
        <f>Festival_Data_Clean!K92</f>
        <v>45752253</v>
      </c>
      <c r="E92" t="str">
        <f t="shared" si="7"/>
        <v>₹4,500+</v>
      </c>
    </row>
    <row r="93" spans="1:5">
      <c r="A93" t="str">
        <f>Festival_Data_Clean!A93</f>
        <v>Supersonic Bengaluru</v>
      </c>
      <c r="B93">
        <f>Festival_Data_Clean!G93</f>
        <v>1750</v>
      </c>
      <c r="C93">
        <f>Festival_Data_Clean!H93</f>
        <v>21248.01</v>
      </c>
      <c r="D93">
        <f>Festival_Data_Clean!K93</f>
        <v>21531232</v>
      </c>
      <c r="E93" t="str">
        <f t="shared" si="7"/>
        <v>₹1,501-3,000</v>
      </c>
    </row>
    <row r="94" spans="1:5">
      <c r="A94" t="str">
        <f>Festival_Data_Clean!A94</f>
        <v>Sunburn Goa</v>
      </c>
      <c r="B94">
        <f>Festival_Data_Clean!G94</f>
        <v>4279.8</v>
      </c>
      <c r="C94">
        <f>Festival_Data_Clean!H94</f>
        <v>18095</v>
      </c>
      <c r="D94">
        <f>Festival_Data_Clean!K94</f>
        <v>61125454</v>
      </c>
      <c r="E94" t="str">
        <f t="shared" si="7"/>
        <v>₹3,001-4,500</v>
      </c>
    </row>
    <row r="95" spans="1:5">
      <c r="A95" t="str">
        <f>Festival_Data_Clean!A95</f>
        <v>Bollywood Music Project</v>
      </c>
      <c r="B95">
        <f>Festival_Data_Clean!G95</f>
        <v>3586</v>
      </c>
      <c r="C95">
        <f>Festival_Data_Clean!H95</f>
        <v>38295</v>
      </c>
      <c r="D95">
        <f>Festival_Data_Clean!K95</f>
        <v>143689870</v>
      </c>
      <c r="E95" t="str">
        <f t="shared" si="7"/>
        <v>₹3,001-4,500</v>
      </c>
    </row>
    <row r="96" spans="1:5">
      <c r="A96" t="str">
        <f>Festival_Data_Clean!A96</f>
        <v>Supersonic Bengaluru</v>
      </c>
      <c r="B96">
        <f>Festival_Data_Clean!G96</f>
        <v>3782</v>
      </c>
      <c r="C96">
        <f>Festival_Data_Clean!H96</f>
        <v>39893</v>
      </c>
      <c r="D96">
        <f>Festival_Data_Clean!K96</f>
        <v>158405197</v>
      </c>
      <c r="E96" t="str">
        <f t="shared" si="7"/>
        <v>₹3,001-4,500</v>
      </c>
    </row>
    <row r="97" spans="1:5">
      <c r="A97" t="str">
        <f>Festival_Data_Clean!A97</f>
        <v>Bollywood Music Project</v>
      </c>
      <c r="B97">
        <f>Festival_Data_Clean!G97</f>
        <v>4834.2</v>
      </c>
      <c r="C97">
        <f>Festival_Data_Clean!H97</f>
        <v>14283</v>
      </c>
      <c r="D97">
        <f>Festival_Data_Clean!K97</f>
        <v>56224996</v>
      </c>
      <c r="E97" t="str">
        <f t="shared" si="7"/>
        <v>₹4,500+</v>
      </c>
    </row>
    <row r="98" spans="1:5">
      <c r="A98" t="str">
        <f>Festival_Data_Clean!A98</f>
        <v>Bollywood Music Project</v>
      </c>
      <c r="B98">
        <f>Festival_Data_Clean!G98</f>
        <v>4286</v>
      </c>
      <c r="C98">
        <f>Festival_Data_Clean!H98</f>
        <v>8925</v>
      </c>
      <c r="D98">
        <f>Festival_Data_Clean!K98</f>
        <v>41871336</v>
      </c>
      <c r="E98" t="str">
        <f t="shared" si="7"/>
        <v>₹3,001-4,500</v>
      </c>
    </row>
    <row r="99" spans="1:5">
      <c r="A99" t="str">
        <f>Festival_Data_Clean!A99</f>
        <v>Hornbill Festival Nagaland</v>
      </c>
      <c r="B99">
        <f>Festival_Data_Clean!G99</f>
        <v>6972</v>
      </c>
      <c r="C99">
        <f>Festival_Data_Clean!H99</f>
        <v>4885</v>
      </c>
      <c r="D99">
        <f>Festival_Data_Clean!K99</f>
        <v>23891233</v>
      </c>
      <c r="E99" t="str">
        <f t="shared" si="7"/>
        <v>₹4,500+</v>
      </c>
    </row>
    <row r="100" spans="1:5">
      <c r="A100" t="str">
        <f>Festival_Data_Clean!A100</f>
        <v>Hornbill Festival Nagaland</v>
      </c>
      <c r="B100">
        <f>Festival_Data_Clean!G100</f>
        <v>4529</v>
      </c>
      <c r="C100">
        <f>Festival_Data_Clean!H100</f>
        <v>4425</v>
      </c>
      <c r="D100">
        <f>Festival_Data_Clean!K100</f>
        <v>23010365</v>
      </c>
      <c r="E100" t="str">
        <f t="shared" si="7"/>
        <v>₹4,500+</v>
      </c>
    </row>
    <row r="101" spans="1:5">
      <c r="A101" t="str">
        <f>Festival_Data_Clean!A101</f>
        <v>Ziro Festival Arunachal</v>
      </c>
      <c r="B101">
        <f>Festival_Data_Clean!G101</f>
        <v>726</v>
      </c>
      <c r="C101">
        <f>Festival_Data_Clean!H101</f>
        <v>37105</v>
      </c>
      <c r="D101">
        <f>Festival_Data_Clean!K101</f>
        <v>42318622</v>
      </c>
      <c r="E101" t="str">
        <f t="shared" si="7"/>
        <v>₹0-1,500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48D88-3A6E-4705-8A94-30414F0F8C8D}">
  <dimension ref="A1:I11"/>
  <sheetViews>
    <sheetView zoomScale="96" workbookViewId="0">
      <selection activeCell="N22" sqref="N22"/>
    </sheetView>
  </sheetViews>
  <sheetFormatPr defaultRowHeight="14.4"/>
  <cols>
    <col min="1" max="1" width="22.33203125" bestFit="1" customWidth="1"/>
    <col min="2" max="2" width="14.44140625" bestFit="1" customWidth="1"/>
    <col min="3" max="3" width="14.77734375" bestFit="1" customWidth="1"/>
    <col min="4" max="4" width="13.33203125" bestFit="1" customWidth="1"/>
    <col min="6" max="6" width="22.77734375" bestFit="1" customWidth="1"/>
    <col min="8" max="8" width="20.6640625" customWidth="1"/>
    <col min="9" max="9" width="15.5546875" customWidth="1"/>
  </cols>
  <sheetData>
    <row r="1" spans="1:9">
      <c r="A1" s="5" t="s">
        <v>189</v>
      </c>
      <c r="B1" s="5" t="s">
        <v>196</v>
      </c>
      <c r="C1" s="5" t="s">
        <v>197</v>
      </c>
      <c r="D1" s="5" t="s">
        <v>198</v>
      </c>
      <c r="F1" s="6" t="s">
        <v>199</v>
      </c>
      <c r="H1" s="6" t="s">
        <v>200</v>
      </c>
      <c r="I1" s="6" t="s">
        <v>178</v>
      </c>
    </row>
    <row r="2" spans="1:9">
      <c r="A2" t="str" cm="1">
        <f t="array" ref="A2:A11">_xlfn.UNIQUE(Festival_Data_Clean!A2:A101)</f>
        <v>NH7 Pune</v>
      </c>
      <c r="B2">
        <f>_xlfn.MINIFS(Festival_Data_Clean!$G$2:$G$101,Festival_Data_Clean!$A$2:$A$101,A2)</f>
        <v>632</v>
      </c>
      <c r="C2">
        <f>_xlfn.MAXIFS(Festival_Data_Clean!$G$2:$G$101,Festival_Data_Clean!$A$2:$A$101,A2)</f>
        <v>6914.6</v>
      </c>
      <c r="D2">
        <f>C2-B2</f>
        <v>6282.6</v>
      </c>
      <c r="F2" t="str">
        <f>IF(D2&gt;0,"Yes","No")</f>
        <v>Yes</v>
      </c>
      <c r="H2" t="s">
        <v>11</v>
      </c>
      <c r="I2">
        <f>COUNTIF($F$2:$F$101,H2)</f>
        <v>10</v>
      </c>
    </row>
    <row r="3" spans="1:9">
      <c r="A3" t="str">
        <v>Ziro Festival Arunachal</v>
      </c>
      <c r="B3">
        <f>_xlfn.MINIFS(Festival_Data_Clean!$G$2:$G$101,Festival_Data_Clean!$A$2:$A$101,A3)</f>
        <v>726</v>
      </c>
      <c r="C3">
        <f>_xlfn.MAXIFS(Festival_Data_Clean!$G$2:$G$101,Festival_Data_Clean!$A$2:$A$101,A3)</f>
        <v>4564</v>
      </c>
      <c r="D3">
        <f t="shared" ref="D3:D11" si="0">C3-B3</f>
        <v>3838</v>
      </c>
      <c r="F3" t="str">
        <f t="shared" ref="F3:F11" si="1">IF(D3&gt;0,"Yes","No")</f>
        <v>Yes</v>
      </c>
      <c r="H3" t="s">
        <v>15</v>
      </c>
      <c r="I3">
        <f>COUNTIF($F$2:$F$101,H3)</f>
        <v>0</v>
      </c>
    </row>
    <row r="4" spans="1:9">
      <c r="A4" t="str">
        <v>VH1 Supersonic Delhi</v>
      </c>
      <c r="B4">
        <f>_xlfn.MINIFS(Festival_Data_Clean!$G$2:$G$101,Festival_Data_Clean!$A$2:$A$101,A4)</f>
        <v>2144</v>
      </c>
      <c r="C4">
        <f>_xlfn.MAXIFS(Festival_Data_Clean!$G$2:$G$101,Festival_Data_Clean!$A$2:$A$101,A4)</f>
        <v>4849</v>
      </c>
      <c r="D4">
        <f t="shared" si="0"/>
        <v>2705</v>
      </c>
      <c r="F4" t="str">
        <f t="shared" si="1"/>
        <v>Yes</v>
      </c>
    </row>
    <row r="5" spans="1:9">
      <c r="A5" t="str">
        <v>Hornbill Festival Nagaland</v>
      </c>
      <c r="B5">
        <f>_xlfn.MINIFS(Festival_Data_Clean!$G$2:$G$101,Festival_Data_Clean!$A$2:$A$101,A5)</f>
        <v>1886</v>
      </c>
      <c r="C5">
        <f>_xlfn.MAXIFS(Festival_Data_Clean!$G$2:$G$101,Festival_Data_Clean!$A$2:$A$101,A5)</f>
        <v>6972</v>
      </c>
      <c r="D5">
        <f t="shared" si="0"/>
        <v>5086</v>
      </c>
      <c r="F5" t="str">
        <f t="shared" si="1"/>
        <v>Yes</v>
      </c>
    </row>
    <row r="6" spans="1:9">
      <c r="A6" t="str">
        <v>Bollywood Music Project</v>
      </c>
      <c r="B6">
        <f>_xlfn.MINIFS(Festival_Data_Clean!$G$2:$G$101,Festival_Data_Clean!$A$2:$A$101,A6)</f>
        <v>625</v>
      </c>
      <c r="C6">
        <f>_xlfn.MAXIFS(Festival_Data_Clean!$G$2:$G$101,Festival_Data_Clean!$A$2:$A$101,A6)</f>
        <v>5391.4</v>
      </c>
      <c r="D6">
        <f t="shared" si="0"/>
        <v>4766.3999999999996</v>
      </c>
      <c r="F6" t="str">
        <f t="shared" si="1"/>
        <v>Yes</v>
      </c>
    </row>
    <row r="7" spans="1:9">
      <c r="A7" t="str">
        <v>Lollapalooza Mumbai</v>
      </c>
      <c r="B7">
        <f>_xlfn.MINIFS(Festival_Data_Clean!$G$2:$G$101,Festival_Data_Clean!$A$2:$A$101,A7)</f>
        <v>929</v>
      </c>
      <c r="C7">
        <f>_xlfn.MAXIFS(Festival_Data_Clean!$G$2:$G$101,Festival_Data_Clean!$A$2:$A$101,A7)</f>
        <v>5397</v>
      </c>
      <c r="D7">
        <f t="shared" si="0"/>
        <v>4468</v>
      </c>
      <c r="F7" t="str">
        <f t="shared" si="1"/>
        <v>Yes</v>
      </c>
    </row>
    <row r="8" spans="1:9">
      <c r="A8" t="str">
        <v>Sunburn Goa</v>
      </c>
      <c r="B8">
        <f>_xlfn.MINIFS(Festival_Data_Clean!$G$2:$G$101,Festival_Data_Clean!$A$2:$A$101,A8)</f>
        <v>798</v>
      </c>
      <c r="C8">
        <f>_xlfn.MAXIFS(Festival_Data_Clean!$G$2:$G$101,Festival_Data_Clean!$A$2:$A$101,A8)</f>
        <v>4765.6000000000004</v>
      </c>
      <c r="D8">
        <f t="shared" si="0"/>
        <v>3967.6000000000004</v>
      </c>
      <c r="F8" t="str">
        <f t="shared" si="1"/>
        <v>Yes</v>
      </c>
    </row>
    <row r="9" spans="1:9">
      <c r="A9" t="str">
        <v>Supersonic Bengaluru</v>
      </c>
      <c r="B9">
        <f>_xlfn.MINIFS(Festival_Data_Clean!$G$2:$G$101,Festival_Data_Clean!$A$2:$A$101,A9)</f>
        <v>528</v>
      </c>
      <c r="C9">
        <f>_xlfn.MAXIFS(Festival_Data_Clean!$G$2:$G$101,Festival_Data_Clean!$A$2:$A$101,A9)</f>
        <v>4046</v>
      </c>
      <c r="D9">
        <f t="shared" si="0"/>
        <v>3518</v>
      </c>
      <c r="F9" t="str">
        <f t="shared" si="1"/>
        <v>Yes</v>
      </c>
    </row>
    <row r="10" spans="1:9">
      <c r="A10" t="str">
        <v>Magnetic Fields Rajasthan</v>
      </c>
      <c r="B10">
        <f>_xlfn.MINIFS(Festival_Data_Clean!$G$2:$G$101,Festival_Data_Clean!$A$2:$A$101,A10)</f>
        <v>1244.5999999999999</v>
      </c>
      <c r="C10">
        <f>_xlfn.MAXIFS(Festival_Data_Clean!$G$2:$G$101,Festival_Data_Clean!$A$2:$A$101,A10)</f>
        <v>3977</v>
      </c>
      <c r="D10">
        <f t="shared" si="0"/>
        <v>2732.4</v>
      </c>
      <c r="F10" t="str">
        <f t="shared" si="1"/>
        <v>Yes</v>
      </c>
    </row>
    <row r="11" spans="1:9">
      <c r="A11" t="str">
        <v>Goa Tribal Festival</v>
      </c>
      <c r="B11">
        <f>_xlfn.MINIFS(Festival_Data_Clean!$G$2:$G$101,Festival_Data_Clean!$A$2:$A$101,A11)</f>
        <v>1381</v>
      </c>
      <c r="C11">
        <f>_xlfn.MAXIFS(Festival_Data_Clean!$G$2:$G$101,Festival_Data_Clean!$A$2:$A$101,A11)</f>
        <v>4459</v>
      </c>
      <c r="D11">
        <f t="shared" si="0"/>
        <v>3078</v>
      </c>
      <c r="F11" t="str">
        <f t="shared" si="1"/>
        <v>Yes</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0BAFA-CE82-4FC7-B934-8B5F55B68F3F}">
  <dimension ref="A1:E11"/>
  <sheetViews>
    <sheetView zoomScale="91" workbookViewId="0">
      <selection activeCell="N17" sqref="N17"/>
    </sheetView>
  </sheetViews>
  <sheetFormatPr defaultRowHeight="14.4"/>
  <cols>
    <col min="1" max="1" width="12.88671875" customWidth="1"/>
    <col min="2" max="2" width="16.109375" customWidth="1"/>
    <col min="4" max="4" width="13.5546875" bestFit="1" customWidth="1"/>
    <col min="5" max="5" width="14.5546875" bestFit="1" customWidth="1"/>
  </cols>
  <sheetData>
    <row r="1" spans="1:5">
      <c r="A1" s="5" t="s">
        <v>202</v>
      </c>
      <c r="B1" s="5" t="s">
        <v>187</v>
      </c>
      <c r="D1" s="5" t="s">
        <v>203</v>
      </c>
      <c r="E1" s="5" t="s">
        <v>187</v>
      </c>
    </row>
    <row r="2" spans="1:5">
      <c r="A2" t="str">
        <f>Artist_Popularity_Clean!A2</f>
        <v>Diljit Dosanjh</v>
      </c>
      <c r="B2">
        <f>Artist_Popularity_Clean!D2</f>
        <v>33738</v>
      </c>
      <c r="D2" t="str" cm="1">
        <f t="array" ref="D2:E11">_xlfn.SORTBY(A2:B11,B2:B11,-1)</f>
        <v>Badshah</v>
      </c>
      <c r="E2">
        <v>36448</v>
      </c>
    </row>
    <row r="3" spans="1:5">
      <c r="A3" t="str">
        <f>Artist_Popularity_Clean!A3</f>
        <v>Honey Singh</v>
      </c>
      <c r="B3">
        <f>Artist_Popularity_Clean!D3</f>
        <v>35223</v>
      </c>
      <c r="D3" t="str">
        <v>Honey Singh</v>
      </c>
      <c r="E3">
        <v>35223</v>
      </c>
    </row>
    <row r="4" spans="1:5">
      <c r="A4" t="str">
        <f>Artist_Popularity_Clean!A4</f>
        <v>Mika Singh</v>
      </c>
      <c r="B4">
        <f>Artist_Popularity_Clean!D4</f>
        <v>11057</v>
      </c>
      <c r="D4" t="str">
        <v>Diljit Dosanjh</v>
      </c>
      <c r="E4">
        <v>33738</v>
      </c>
    </row>
    <row r="5" spans="1:5">
      <c r="A5" t="str">
        <f>Artist_Popularity_Clean!A5</f>
        <v>Arijit Singh</v>
      </c>
      <c r="B5">
        <f>Artist_Popularity_Clean!D5</f>
        <v>25729</v>
      </c>
      <c r="D5" t="str">
        <v>Arijit Singh</v>
      </c>
      <c r="E5">
        <v>25729</v>
      </c>
    </row>
    <row r="6" spans="1:5">
      <c r="A6" t="str">
        <f>Artist_Popularity_Clean!A6</f>
        <v>Ed Sheeran</v>
      </c>
      <c r="B6">
        <f>Artist_Popularity_Clean!D6</f>
        <v>18609</v>
      </c>
      <c r="D6" t="str">
        <v>Bryan Adams</v>
      </c>
      <c r="E6">
        <v>21632.555560000001</v>
      </c>
    </row>
    <row r="7" spans="1:5">
      <c r="A7" t="str">
        <f>Artist_Popularity_Clean!A7</f>
        <v>Bryan Adams</v>
      </c>
      <c r="B7">
        <f>Artist_Popularity_Clean!D7</f>
        <v>21632.555560000001</v>
      </c>
      <c r="D7" t="str">
        <v>DJ Snake</v>
      </c>
      <c r="E7">
        <v>19089</v>
      </c>
    </row>
    <row r="8" spans="1:5">
      <c r="A8" t="str">
        <f>Artist_Popularity_Clean!A8</f>
        <v>DJ Snake</v>
      </c>
      <c r="B8">
        <f>Artist_Popularity_Clean!D8</f>
        <v>19089</v>
      </c>
      <c r="D8" t="str">
        <v>Ed Sheeran</v>
      </c>
      <c r="E8">
        <v>18609</v>
      </c>
    </row>
    <row r="9" spans="1:5">
      <c r="A9" t="str">
        <f>Artist_Popularity_Clean!A9</f>
        <v>Martin Garrix</v>
      </c>
      <c r="B9">
        <f>Artist_Popularity_Clean!D9</f>
        <v>11603</v>
      </c>
      <c r="D9" t="str">
        <v>Martin Garrix</v>
      </c>
      <c r="E9">
        <v>11603</v>
      </c>
    </row>
    <row r="10" spans="1:5">
      <c r="A10" t="str">
        <f>Artist_Popularity_Clean!A10</f>
        <v>Badshah</v>
      </c>
      <c r="B10">
        <f>Artist_Popularity_Clean!D10</f>
        <v>36448</v>
      </c>
      <c r="D10" t="str">
        <v>Mika Singh</v>
      </c>
      <c r="E10">
        <v>11057</v>
      </c>
    </row>
    <row r="11" spans="1:5">
      <c r="A11" t="str">
        <f>Artist_Popularity_Clean!A11</f>
        <v>Shreya Ghoshal</v>
      </c>
      <c r="B11">
        <f>Artist_Popularity_Clean!D11</f>
        <v>3197</v>
      </c>
      <c r="D11" t="str">
        <v>Shreya Ghoshal</v>
      </c>
      <c r="E11">
        <v>3197</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E340A-367D-4D82-810B-E58650DB058E}">
  <dimension ref="A1:B8"/>
  <sheetViews>
    <sheetView workbookViewId="0">
      <selection activeCell="O20" sqref="O20"/>
    </sheetView>
  </sheetViews>
  <sheetFormatPr defaultRowHeight="14.4"/>
  <cols>
    <col min="1" max="1" width="17.5546875" bestFit="1" customWidth="1"/>
    <col min="2" max="2" width="14.109375" customWidth="1"/>
  </cols>
  <sheetData>
    <row r="1" spans="1:2">
      <c r="A1" s="5" t="s">
        <v>1</v>
      </c>
      <c r="B1" s="5" t="s">
        <v>204</v>
      </c>
    </row>
    <row r="2" spans="1:2">
      <c r="A2" t="str" cm="1">
        <f t="array" ref="A2:A8">_xlfn.UNIQUE(Artist_Popularity_Clean!B2:B11)</f>
        <v>Punjabi</v>
      </c>
      <c r="B2">
        <f>COUNTIF(Artist_Popularity_Clean!$B$2:$B$11,A2)</f>
        <v>1</v>
      </c>
    </row>
    <row r="3" spans="1:2">
      <c r="A3" t="str">
        <v>Hip-Hop</v>
      </c>
      <c r="B3">
        <f>COUNTIF(Artist_Popularity_Clean!$B$2:$B$11,A3)</f>
        <v>1</v>
      </c>
    </row>
    <row r="4" spans="1:2">
      <c r="A4" t="str">
        <v>Bollywood</v>
      </c>
      <c r="B4">
        <f>COUNTIF(Artist_Popularity_Clean!$B$2:$B$11,A4)</f>
        <v>3</v>
      </c>
    </row>
    <row r="5" spans="1:2">
      <c r="A5" t="str">
        <v>International Pop</v>
      </c>
      <c r="B5">
        <f>COUNTIF(Artist_Popularity_Clean!$B$2:$B$11,A5)</f>
        <v>1</v>
      </c>
    </row>
    <row r="6" spans="1:2">
      <c r="A6" t="str">
        <v>Rock</v>
      </c>
      <c r="B6">
        <f>COUNTIF(Artist_Popularity_Clean!$B$2:$B$11,A6)</f>
        <v>1</v>
      </c>
    </row>
    <row r="7" spans="1:2">
      <c r="A7" t="str">
        <v>EDM</v>
      </c>
      <c r="B7">
        <f>COUNTIF(Artist_Popularity_Clean!$B$2:$B$11,A7)</f>
        <v>2</v>
      </c>
    </row>
    <row r="8" spans="1:2">
      <c r="A8" t="str">
        <v>Classical/Bollywood</v>
      </c>
      <c r="B8">
        <f>COUNTIF(Artist_Popularity_Clean!$B$2:$B$11,A8)</f>
        <v>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8586-6269-4A44-899A-ACD5E562870F}">
  <dimension ref="A1:L11"/>
  <sheetViews>
    <sheetView zoomScale="72" workbookViewId="0">
      <selection activeCell="E32" sqref="E32"/>
    </sheetView>
  </sheetViews>
  <sheetFormatPr defaultRowHeight="14.4"/>
  <cols>
    <col min="1" max="1" width="14.109375" bestFit="1" customWidth="1"/>
    <col min="2" max="2" width="15.6640625" customWidth="1"/>
    <col min="3" max="3" width="16" customWidth="1"/>
    <col min="4" max="4" width="20.88671875" customWidth="1"/>
    <col min="5" max="5" width="13.6640625" bestFit="1" customWidth="1"/>
    <col min="6" max="6" width="27.44140625" bestFit="1" customWidth="1"/>
    <col min="7" max="7" width="11.5546875" bestFit="1" customWidth="1"/>
    <col min="9" max="9" width="12.21875" bestFit="1" customWidth="1"/>
    <col min="10" max="10" width="18.77734375" bestFit="1" customWidth="1"/>
    <col min="11" max="11" width="19.33203125" bestFit="1" customWidth="1"/>
    <col min="12" max="12" width="35.6640625" bestFit="1" customWidth="1"/>
  </cols>
  <sheetData>
    <row r="1" spans="1:12">
      <c r="A1" s="5" t="s">
        <v>201</v>
      </c>
      <c r="B1" s="5" t="s">
        <v>205</v>
      </c>
      <c r="C1" s="5" t="s">
        <v>187</v>
      </c>
      <c r="D1" s="5" t="s">
        <v>206</v>
      </c>
      <c r="E1" s="5" t="s">
        <v>207</v>
      </c>
      <c r="F1" s="5" t="s">
        <v>208</v>
      </c>
      <c r="G1" s="5" t="s">
        <v>184</v>
      </c>
      <c r="I1" s="6" t="s">
        <v>184</v>
      </c>
      <c r="J1" s="6" t="s">
        <v>209</v>
      </c>
      <c r="K1" s="6" t="s">
        <v>210</v>
      </c>
      <c r="L1" s="9" t="s">
        <v>211</v>
      </c>
    </row>
    <row r="2" spans="1:12">
      <c r="A2" s="2" t="str">
        <f>Artist_Popularity_Clean!A2</f>
        <v>Diljit Dosanjh</v>
      </c>
      <c r="B2" s="2">
        <f>Artist_Popularity_Clean!C2</f>
        <v>2027</v>
      </c>
      <c r="C2" s="2">
        <f>Artist_Popularity_Clean!D2</f>
        <v>33738</v>
      </c>
      <c r="D2" s="2">
        <f>Artist_Popularity_Clean!G2</f>
        <v>22334556</v>
      </c>
      <c r="E2">
        <f>B2*C2+D2</f>
        <v>90721482</v>
      </c>
      <c r="F2">
        <f>E2/C2</f>
        <v>2689</v>
      </c>
      <c r="G2" t="str">
        <f>IF(OR(A2="Bryan Adams",A2="DJ Snake",A2="Martin Garrix",A2="Ed Sheeran"),"International","Local")</f>
        <v>Local</v>
      </c>
      <c r="I2" t="s">
        <v>182</v>
      </c>
      <c r="J2">
        <f>AVERAGEIF($G$2:$G$11,I2,$C$2:$C$11)</f>
        <v>24232</v>
      </c>
      <c r="K2">
        <f>SUMIF($G$2:$G$11,I2,$E$2:$E$11)</f>
        <v>426028651</v>
      </c>
      <c r="L2">
        <f>AVERAGEIF($G$2:$G$11,I2,$F$2:$F$11)</f>
        <v>2895.6666666666665</v>
      </c>
    </row>
    <row r="3" spans="1:12">
      <c r="A3" s="2" t="str">
        <f>Artist_Popularity_Clean!A3</f>
        <v>Honey Singh</v>
      </c>
      <c r="B3" s="2">
        <f>Artist_Popularity_Clean!C3</f>
        <v>1573</v>
      </c>
      <c r="C3" s="2">
        <f>Artist_Popularity_Clean!D3</f>
        <v>35223</v>
      </c>
      <c r="D3" s="2">
        <f>Artist_Popularity_Clean!G3</f>
        <v>25360560</v>
      </c>
      <c r="E3">
        <f t="shared" ref="E3:E11" si="0">B3*C3+D3</f>
        <v>80766339</v>
      </c>
      <c r="F3">
        <f t="shared" ref="F3:F11" si="1">E3/C3</f>
        <v>2293</v>
      </c>
      <c r="G3" t="str">
        <f t="shared" ref="G3:G11" si="2">IF(OR(A3="Bryan Adams",A3="DJ Snake",A3="Martin Garrix",A3="Ed Sheeran"),"International","Local")</f>
        <v>Local</v>
      </c>
      <c r="I3" t="s">
        <v>183</v>
      </c>
      <c r="J3">
        <f>AVERAGEIF($G$2:$G$11,I3,$C$2:$C$11)</f>
        <v>17733.388890000002</v>
      </c>
      <c r="K3">
        <f>SUMIF($G$2:$G$11,I3,$E$2:$E$11)</f>
        <v>171903977.11552</v>
      </c>
      <c r="L3">
        <f>AVERAGEIF($G$2:$G$11,I3,$F$2:$F$11)</f>
        <v>2527.7927737308905</v>
      </c>
    </row>
    <row r="4" spans="1:12">
      <c r="A4" s="2" t="str">
        <f>Artist_Popularity_Clean!A4</f>
        <v>Mika Singh</v>
      </c>
      <c r="B4" s="2">
        <f>Artist_Popularity_Clean!C4</f>
        <v>1025</v>
      </c>
      <c r="C4" s="2">
        <f>Artist_Popularity_Clean!D4</f>
        <v>11057</v>
      </c>
      <c r="D4" s="2">
        <f>Artist_Popularity_Clean!G4</f>
        <v>7983154</v>
      </c>
      <c r="E4">
        <f t="shared" si="0"/>
        <v>19316579</v>
      </c>
      <c r="F4">
        <f t="shared" si="1"/>
        <v>1747</v>
      </c>
      <c r="G4" t="str">
        <f t="shared" si="2"/>
        <v>Local</v>
      </c>
    </row>
    <row r="5" spans="1:12">
      <c r="A5" s="2" t="str">
        <f>Artist_Popularity_Clean!A5</f>
        <v>Arijit Singh</v>
      </c>
      <c r="B5" s="2">
        <f>Artist_Popularity_Clean!C5</f>
        <v>2437</v>
      </c>
      <c r="C5" s="2">
        <f>Artist_Popularity_Clean!D5</f>
        <v>25729</v>
      </c>
      <c r="D5" s="2">
        <f>Artist_Popularity_Clean!G5</f>
        <v>18730712</v>
      </c>
      <c r="E5">
        <f t="shared" si="0"/>
        <v>81432285</v>
      </c>
      <c r="F5">
        <f t="shared" si="1"/>
        <v>3165</v>
      </c>
      <c r="G5" t="str">
        <f t="shared" si="2"/>
        <v>Local</v>
      </c>
    </row>
    <row r="6" spans="1:12">
      <c r="A6" s="2" t="str">
        <f>Artist_Popularity_Clean!A6</f>
        <v>Ed Sheeran</v>
      </c>
      <c r="B6" s="2">
        <f>Artist_Popularity_Clean!C6</f>
        <v>3436</v>
      </c>
      <c r="C6" s="2">
        <f>Artist_Popularity_Clean!D6</f>
        <v>18609</v>
      </c>
      <c r="D6" s="2">
        <f>Artist_Popularity_Clean!G6</f>
        <v>4856949</v>
      </c>
      <c r="E6">
        <f t="shared" si="0"/>
        <v>68797473</v>
      </c>
      <c r="F6">
        <f t="shared" si="1"/>
        <v>3697</v>
      </c>
      <c r="G6" t="str">
        <f t="shared" si="2"/>
        <v>International</v>
      </c>
    </row>
    <row r="7" spans="1:12">
      <c r="A7" s="2" t="str">
        <f>Artist_Popularity_Clean!A7</f>
        <v>Bryan Adams</v>
      </c>
      <c r="B7" s="2">
        <f>Artist_Popularity_Clean!C7</f>
        <v>992</v>
      </c>
      <c r="C7" s="2">
        <f>Artist_Popularity_Clean!D7</f>
        <v>21632.555560000001</v>
      </c>
      <c r="D7" s="2">
        <f>Artist_Popularity_Clean!G7</f>
        <v>8678356</v>
      </c>
      <c r="E7">
        <f t="shared" si="0"/>
        <v>30137851.11552</v>
      </c>
      <c r="F7">
        <f t="shared" si="1"/>
        <v>1393.1710949235626</v>
      </c>
      <c r="G7" t="str">
        <f t="shared" si="2"/>
        <v>International</v>
      </c>
    </row>
    <row r="8" spans="1:12">
      <c r="A8" s="2" t="str">
        <f>Artist_Popularity_Clean!A8</f>
        <v>DJ Snake</v>
      </c>
      <c r="B8" s="2">
        <f>Artist_Popularity_Clean!C8</f>
        <v>1431</v>
      </c>
      <c r="C8" s="2">
        <f>Artist_Popularity_Clean!D8</f>
        <v>19089</v>
      </c>
      <c r="D8" s="2">
        <f>Artist_Popularity_Clean!G8</f>
        <v>10193526</v>
      </c>
      <c r="E8">
        <f t="shared" si="0"/>
        <v>37509885</v>
      </c>
      <c r="F8">
        <f t="shared" si="1"/>
        <v>1965</v>
      </c>
      <c r="G8" t="str">
        <f t="shared" si="2"/>
        <v>International</v>
      </c>
    </row>
    <row r="9" spans="1:12">
      <c r="A9" s="2" t="str">
        <f>Artist_Popularity_Clean!A9</f>
        <v>Martin Garrix</v>
      </c>
      <c r="B9" s="2">
        <f>Artist_Popularity_Clean!C9</f>
        <v>2499</v>
      </c>
      <c r="C9" s="2">
        <f>Artist_Popularity_Clean!D9</f>
        <v>11603</v>
      </c>
      <c r="D9" s="2">
        <f>Artist_Popularity_Clean!G9</f>
        <v>6462871</v>
      </c>
      <c r="E9">
        <f t="shared" si="0"/>
        <v>35458768</v>
      </c>
      <c r="F9">
        <f t="shared" si="1"/>
        <v>3056</v>
      </c>
      <c r="G9" t="str">
        <f t="shared" si="2"/>
        <v>International</v>
      </c>
    </row>
    <row r="10" spans="1:12">
      <c r="A10" s="2" t="str">
        <f>Artist_Popularity_Clean!A10</f>
        <v>Badshah</v>
      </c>
      <c r="B10" s="2">
        <f>Artist_Popularity_Clean!C10</f>
        <v>3351</v>
      </c>
      <c r="C10" s="2">
        <f>Artist_Popularity_Clean!D10</f>
        <v>36448</v>
      </c>
      <c r="D10" s="2">
        <f>Artist_Popularity_Clean!G10</f>
        <v>20228640</v>
      </c>
      <c r="E10">
        <f t="shared" si="0"/>
        <v>142365888</v>
      </c>
      <c r="F10">
        <f t="shared" si="1"/>
        <v>3906</v>
      </c>
      <c r="G10" t="str">
        <f t="shared" si="2"/>
        <v>Local</v>
      </c>
    </row>
    <row r="11" spans="1:12">
      <c r="A11" s="2" t="str">
        <f>Artist_Popularity_Clean!A11</f>
        <v>Shreya Ghoshal</v>
      </c>
      <c r="B11" s="2">
        <f>Artist_Popularity_Clean!C11</f>
        <v>3326</v>
      </c>
      <c r="C11" s="2">
        <f>Artist_Popularity_Clean!D11</f>
        <v>3197</v>
      </c>
      <c r="D11" s="2">
        <f>Artist_Popularity_Clean!G11</f>
        <v>792856</v>
      </c>
      <c r="E11">
        <f t="shared" si="0"/>
        <v>11426078</v>
      </c>
      <c r="F11">
        <f t="shared" si="1"/>
        <v>3574</v>
      </c>
      <c r="G11" t="str">
        <f t="shared" si="2"/>
        <v>Local</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D4DE-D409-4EC1-9C5B-9019531B1E5D}">
  <dimension ref="A1:I101"/>
  <sheetViews>
    <sheetView topLeftCell="B1" zoomScale="83" workbookViewId="0">
      <selection activeCell="N22" sqref="N22"/>
    </sheetView>
  </sheetViews>
  <sheetFormatPr defaultRowHeight="14.4"/>
  <cols>
    <col min="1" max="1" width="22.33203125" bestFit="1" customWidth="1"/>
    <col min="2" max="2" width="19.33203125" bestFit="1" customWidth="1"/>
    <col min="3" max="3" width="13.109375" bestFit="1" customWidth="1"/>
    <col min="4" max="4" width="24.6640625" bestFit="1" customWidth="1"/>
    <col min="6" max="6" width="25.5546875" bestFit="1" customWidth="1"/>
    <col min="7" max="7" width="13.109375" bestFit="1" customWidth="1"/>
    <col min="8" max="8" width="35.21875" bestFit="1" customWidth="1"/>
    <col min="9" max="9" width="13.21875" bestFit="1" customWidth="1"/>
  </cols>
  <sheetData>
    <row r="1" spans="1:9">
      <c r="A1" s="5" t="s">
        <v>189</v>
      </c>
      <c r="B1" s="5" t="s">
        <v>212</v>
      </c>
      <c r="C1" s="5" t="s">
        <v>192</v>
      </c>
      <c r="D1" s="5" t="s">
        <v>213</v>
      </c>
      <c r="F1" s="6" t="s">
        <v>214</v>
      </c>
      <c r="G1" s="5" t="s">
        <v>192</v>
      </c>
      <c r="H1" s="6" t="s">
        <v>215</v>
      </c>
    </row>
    <row r="2" spans="1:9">
      <c r="A2" t="str">
        <f>Festival_Data_Clean!A2</f>
        <v>NH7 Pune</v>
      </c>
      <c r="B2">
        <f>Festival_Data_Clean!J2</f>
        <v>3680408</v>
      </c>
      <c r="C2">
        <f>Festival_Data_Clean!K2</f>
        <v>13348696</v>
      </c>
      <c r="D2" s="10">
        <f>B2/C2</f>
        <v>0.27571292356946325</v>
      </c>
      <c r="F2">
        <f>SUM(B2:B101)</f>
        <v>305330155</v>
      </c>
      <c r="G2">
        <f>SUM(C2:C101)</f>
        <v>6935729638</v>
      </c>
      <c r="H2" s="10">
        <f>F2/G2</f>
        <v>4.4022787930938667E-2</v>
      </c>
    </row>
    <row r="3" spans="1:9">
      <c r="A3" t="str">
        <f>Festival_Data_Clean!A3</f>
        <v>Ziro Festival Arunachal</v>
      </c>
      <c r="B3">
        <f>Festival_Data_Clean!J3</f>
        <v>2589481</v>
      </c>
      <c r="C3">
        <f>Festival_Data_Clean!K3</f>
        <v>87858495</v>
      </c>
      <c r="D3" s="10">
        <f t="shared" ref="D3:D66" si="0">B3/C3</f>
        <v>2.9473313878185598E-2</v>
      </c>
    </row>
    <row r="4" spans="1:9">
      <c r="A4" t="str">
        <f>Festival_Data_Clean!A4</f>
        <v>NH7 Pune</v>
      </c>
      <c r="B4">
        <f>Festival_Data_Clean!J4</f>
        <v>640053</v>
      </c>
      <c r="C4">
        <f>Festival_Data_Clean!K4</f>
        <v>132693072</v>
      </c>
      <c r="D4" s="10">
        <f t="shared" si="0"/>
        <v>4.8235600423811127E-3</v>
      </c>
      <c r="H4" s="6" t="s">
        <v>216</v>
      </c>
      <c r="I4" s="5" t="s">
        <v>217</v>
      </c>
    </row>
    <row r="5" spans="1:9">
      <c r="A5" t="str">
        <f>Festival_Data_Clean!A5</f>
        <v>VH1 Supersonic Delhi</v>
      </c>
      <c r="B5">
        <f>Festival_Data_Clean!J5</f>
        <v>2712686</v>
      </c>
      <c r="C5">
        <f>Festival_Data_Clean!K5</f>
        <v>36553838</v>
      </c>
      <c r="D5" s="10">
        <f t="shared" si="0"/>
        <v>7.4210702580670182E-2</v>
      </c>
      <c r="H5" t="s">
        <v>218</v>
      </c>
      <c r="I5">
        <f>F2</f>
        <v>305330155</v>
      </c>
    </row>
    <row r="6" spans="1:9">
      <c r="A6" t="str">
        <f>Festival_Data_Clean!A6</f>
        <v>Hornbill Festival Nagaland</v>
      </c>
      <c r="B6">
        <f>Festival_Data_Clean!J6</f>
        <v>1181193</v>
      </c>
      <c r="C6">
        <f>Festival_Data_Clean!K6</f>
        <v>73783833</v>
      </c>
      <c r="D6" s="10">
        <f t="shared" si="0"/>
        <v>1.6008832178724029E-2</v>
      </c>
      <c r="H6" t="s">
        <v>219</v>
      </c>
      <c r="I6">
        <f>G2-F2</f>
        <v>6630399483</v>
      </c>
    </row>
    <row r="7" spans="1:9">
      <c r="A7" t="str">
        <f>Festival_Data_Clean!A7</f>
        <v>Ziro Festival Arunachal</v>
      </c>
      <c r="B7">
        <f>Festival_Data_Clean!J7</f>
        <v>2302603</v>
      </c>
      <c r="C7">
        <f>Festival_Data_Clean!K7</f>
        <v>58605653</v>
      </c>
      <c r="D7" s="10">
        <f t="shared" si="0"/>
        <v>3.9289776363382559E-2</v>
      </c>
    </row>
    <row r="8" spans="1:9">
      <c r="A8" t="str">
        <f>Festival_Data_Clean!A8</f>
        <v>Ziro Festival Arunachal</v>
      </c>
      <c r="B8">
        <f>Festival_Data_Clean!J8</f>
        <v>4948076</v>
      </c>
      <c r="C8">
        <f>Festival_Data_Clean!K8</f>
        <v>111635078</v>
      </c>
      <c r="D8" s="10">
        <f t="shared" si="0"/>
        <v>4.4323666795843507E-2</v>
      </c>
    </row>
    <row r="9" spans="1:9">
      <c r="A9" t="str">
        <f>Festival_Data_Clean!A9</f>
        <v>NH7 Pune</v>
      </c>
      <c r="B9">
        <f>Festival_Data_Clean!J9</f>
        <v>1201595</v>
      </c>
      <c r="C9">
        <f>Festival_Data_Clean!K9</f>
        <v>41577735</v>
      </c>
      <c r="D9" s="10">
        <f t="shared" si="0"/>
        <v>2.8899962924868322E-2</v>
      </c>
    </row>
    <row r="10" spans="1:9">
      <c r="A10" t="str">
        <f>Festival_Data_Clean!A10</f>
        <v>Bollywood Music Project</v>
      </c>
      <c r="B10">
        <f>Festival_Data_Clean!J10</f>
        <v>3427104</v>
      </c>
      <c r="C10">
        <f>Festival_Data_Clean!K10</f>
        <v>81824709</v>
      </c>
      <c r="D10" s="10">
        <f t="shared" si="0"/>
        <v>4.1883485341817711E-2</v>
      </c>
    </row>
    <row r="11" spans="1:9">
      <c r="A11" t="str">
        <f>Festival_Data_Clean!A11</f>
        <v>Lollapalooza Mumbai</v>
      </c>
      <c r="B11">
        <f>Festival_Data_Clean!J11</f>
        <v>3948781</v>
      </c>
      <c r="C11">
        <f>Festival_Data_Clean!K11</f>
        <v>39768298</v>
      </c>
      <c r="D11" s="10">
        <f t="shared" si="0"/>
        <v>9.9294694482524745E-2</v>
      </c>
    </row>
    <row r="12" spans="1:9">
      <c r="A12" t="str">
        <f>Festival_Data_Clean!A12</f>
        <v>Hornbill Festival Nagaland</v>
      </c>
      <c r="B12">
        <f>Festival_Data_Clean!J12</f>
        <v>4798020</v>
      </c>
      <c r="C12">
        <f>Festival_Data_Clean!K12</f>
        <v>75365349</v>
      </c>
      <c r="D12" s="10">
        <f t="shared" si="0"/>
        <v>6.3663474841733958E-2</v>
      </c>
    </row>
    <row r="13" spans="1:9">
      <c r="A13" t="str">
        <f>Festival_Data_Clean!A13</f>
        <v>Sunburn Goa</v>
      </c>
      <c r="B13">
        <f>Festival_Data_Clean!J13</f>
        <v>2851905</v>
      </c>
      <c r="C13">
        <f>Festival_Data_Clean!K13</f>
        <v>76139976</v>
      </c>
      <c r="D13" s="10">
        <f t="shared" si="0"/>
        <v>3.7456079576384423E-2</v>
      </c>
    </row>
    <row r="14" spans="1:9">
      <c r="A14" t="str">
        <f>Festival_Data_Clean!A14</f>
        <v>Supersonic Bengaluru</v>
      </c>
      <c r="B14">
        <f>Festival_Data_Clean!J14</f>
        <v>3167786</v>
      </c>
      <c r="C14">
        <f>Festival_Data_Clean!K14</f>
        <v>19328026</v>
      </c>
      <c r="D14" s="10">
        <f t="shared" si="0"/>
        <v>0.16389599227567264</v>
      </c>
    </row>
    <row r="15" spans="1:9">
      <c r="A15" t="str">
        <f>Festival_Data_Clean!A15</f>
        <v>Magnetic Fields Rajasthan</v>
      </c>
      <c r="B15">
        <f>Festival_Data_Clean!J15</f>
        <v>2897760</v>
      </c>
      <c r="C15">
        <f>Festival_Data_Clean!K15</f>
        <v>36373655</v>
      </c>
      <c r="D15" s="10">
        <f t="shared" si="0"/>
        <v>7.9666450896947252E-2</v>
      </c>
    </row>
    <row r="16" spans="1:9">
      <c r="A16" t="str">
        <f>Festival_Data_Clean!A16</f>
        <v>Hornbill Festival Nagaland</v>
      </c>
      <c r="B16">
        <f>Festival_Data_Clean!J16</f>
        <v>4600450</v>
      </c>
      <c r="C16">
        <f>Festival_Data_Clean!K16</f>
        <v>59239606</v>
      </c>
      <c r="D16" s="10">
        <f t="shared" si="0"/>
        <v>7.7658349044387634E-2</v>
      </c>
    </row>
    <row r="17" spans="1:4">
      <c r="A17" t="str">
        <f>Festival_Data_Clean!A17</f>
        <v>VH1 Supersonic Delhi</v>
      </c>
      <c r="B17">
        <f>Festival_Data_Clean!J17</f>
        <v>795307</v>
      </c>
      <c r="C17">
        <f>Festival_Data_Clean!K17</f>
        <v>28195711</v>
      </c>
      <c r="D17" s="10">
        <f t="shared" si="0"/>
        <v>2.8206665900356264E-2</v>
      </c>
    </row>
    <row r="18" spans="1:4">
      <c r="A18" t="str">
        <f>Festival_Data_Clean!A18</f>
        <v>Lollapalooza Mumbai</v>
      </c>
      <c r="B18">
        <f>Festival_Data_Clean!J18</f>
        <v>2188470</v>
      </c>
      <c r="C18">
        <f>Festival_Data_Clean!K18</f>
        <v>54311142</v>
      </c>
      <c r="D18" s="10">
        <f t="shared" si="0"/>
        <v>4.0295046640705878E-2</v>
      </c>
    </row>
    <row r="19" spans="1:4">
      <c r="A19" t="str">
        <f>Festival_Data_Clean!A19</f>
        <v>Ziro Festival Arunachal</v>
      </c>
      <c r="B19">
        <f>Festival_Data_Clean!J19</f>
        <v>3635278</v>
      </c>
      <c r="C19">
        <f>Festival_Data_Clean!K19</f>
        <v>20153068</v>
      </c>
      <c r="D19" s="10">
        <f t="shared" si="0"/>
        <v>0.18038335403820402</v>
      </c>
    </row>
    <row r="20" spans="1:4">
      <c r="A20" t="str">
        <f>Festival_Data_Clean!A20</f>
        <v>Ziro Festival Arunachal</v>
      </c>
      <c r="B20">
        <f>Festival_Data_Clean!J20</f>
        <v>4732974</v>
      </c>
      <c r="C20">
        <f>Festival_Data_Clean!K20</f>
        <v>156553629</v>
      </c>
      <c r="D20" s="10">
        <f t="shared" si="0"/>
        <v>3.0232285448969057E-2</v>
      </c>
    </row>
    <row r="21" spans="1:4">
      <c r="A21" t="str">
        <f>Festival_Data_Clean!A21</f>
        <v>Sunburn Goa</v>
      </c>
      <c r="B21">
        <f>Festival_Data_Clean!J21</f>
        <v>3001940</v>
      </c>
      <c r="C21">
        <f>Festival_Data_Clean!K21</f>
        <v>14216078</v>
      </c>
      <c r="D21" s="10">
        <f t="shared" si="0"/>
        <v>0.21116513288686234</v>
      </c>
    </row>
    <row r="22" spans="1:4">
      <c r="A22" t="str">
        <f>Festival_Data_Clean!A22</f>
        <v>Sunburn Goa</v>
      </c>
      <c r="B22">
        <f>Festival_Data_Clean!J22</f>
        <v>4670910</v>
      </c>
      <c r="C22">
        <f>Festival_Data_Clean!K22</f>
        <v>124333833</v>
      </c>
      <c r="D22" s="10">
        <f t="shared" si="0"/>
        <v>3.7567489775691222E-2</v>
      </c>
    </row>
    <row r="23" spans="1:4">
      <c r="A23" t="str">
        <f>Festival_Data_Clean!A23</f>
        <v>Sunburn Goa</v>
      </c>
      <c r="B23">
        <f>Festival_Data_Clean!J23</f>
        <v>1632574</v>
      </c>
      <c r="C23">
        <f>Festival_Data_Clean!K23</f>
        <v>25501892</v>
      </c>
      <c r="D23" s="10">
        <f t="shared" si="0"/>
        <v>6.4017759937184268E-2</v>
      </c>
    </row>
    <row r="24" spans="1:4">
      <c r="A24" t="str">
        <f>Festival_Data_Clean!A24</f>
        <v>NH7 Pune</v>
      </c>
      <c r="B24">
        <f>Festival_Data_Clean!J24</f>
        <v>1067015</v>
      </c>
      <c r="C24">
        <f>Festival_Data_Clean!K24</f>
        <v>47281463</v>
      </c>
      <c r="D24" s="10">
        <f t="shared" si="0"/>
        <v>2.2567300846845623E-2</v>
      </c>
    </row>
    <row r="25" spans="1:4">
      <c r="A25" t="str">
        <f>Festival_Data_Clean!A25</f>
        <v>Goa Tribal Festival</v>
      </c>
      <c r="B25">
        <f>Festival_Data_Clean!J25</f>
        <v>2403962</v>
      </c>
      <c r="C25">
        <f>Festival_Data_Clean!K25</f>
        <v>41090442</v>
      </c>
      <c r="D25" s="10">
        <f t="shared" si="0"/>
        <v>5.8504165031858263E-2</v>
      </c>
    </row>
    <row r="26" spans="1:4">
      <c r="A26" t="str">
        <f>Festival_Data_Clean!A26</f>
        <v>Magnetic Fields Rajasthan</v>
      </c>
      <c r="B26">
        <f>Festival_Data_Clean!J26</f>
        <v>4689343</v>
      </c>
      <c r="C26">
        <f>Festival_Data_Clean!K26</f>
        <v>114319692</v>
      </c>
      <c r="D26" s="10">
        <f t="shared" si="0"/>
        <v>4.1019555930923955E-2</v>
      </c>
    </row>
    <row r="27" spans="1:4">
      <c r="A27" t="str">
        <f>Festival_Data_Clean!A27</f>
        <v>Sunburn Goa</v>
      </c>
      <c r="B27">
        <f>Festival_Data_Clean!J27</f>
        <v>3471436</v>
      </c>
      <c r="C27">
        <f>Festival_Data_Clean!K27</f>
        <v>55840288</v>
      </c>
      <c r="D27" s="10">
        <f t="shared" si="0"/>
        <v>6.2167229509991068E-2</v>
      </c>
    </row>
    <row r="28" spans="1:4">
      <c r="A28" t="str">
        <f>Festival_Data_Clean!A28</f>
        <v>Hornbill Festival Nagaland</v>
      </c>
      <c r="B28">
        <f>Festival_Data_Clean!J28</f>
        <v>2377592</v>
      </c>
      <c r="C28">
        <f>Festival_Data_Clean!K28</f>
        <v>141370736</v>
      </c>
      <c r="D28" s="10">
        <f t="shared" si="0"/>
        <v>1.6818134129258547E-2</v>
      </c>
    </row>
    <row r="29" spans="1:4">
      <c r="A29" t="str">
        <f>Festival_Data_Clean!A29</f>
        <v>NH7 Pune</v>
      </c>
      <c r="B29">
        <f>Festival_Data_Clean!J29</f>
        <v>2840750</v>
      </c>
      <c r="C29">
        <f>Festival_Data_Clean!K29</f>
        <v>122880810</v>
      </c>
      <c r="D29" s="10">
        <f t="shared" si="0"/>
        <v>2.3117930293591001E-2</v>
      </c>
    </row>
    <row r="30" spans="1:4">
      <c r="A30" t="str">
        <f>Festival_Data_Clean!A30</f>
        <v>NH7 Pune</v>
      </c>
      <c r="B30">
        <f>Festival_Data_Clean!J30</f>
        <v>2704822</v>
      </c>
      <c r="C30">
        <f>Festival_Data_Clean!K30</f>
        <v>31435366</v>
      </c>
      <c r="D30" s="10">
        <f t="shared" si="0"/>
        <v>8.6043916269338175E-2</v>
      </c>
    </row>
    <row r="31" spans="1:4">
      <c r="A31" t="str">
        <f>Festival_Data_Clean!A31</f>
        <v>NH7 Pune</v>
      </c>
      <c r="B31">
        <f>Festival_Data_Clean!J31</f>
        <v>3956927</v>
      </c>
      <c r="C31">
        <f>Festival_Data_Clean!K31</f>
        <v>45513167</v>
      </c>
      <c r="D31" s="10">
        <f t="shared" si="0"/>
        <v>8.6940269395008263E-2</v>
      </c>
    </row>
    <row r="32" spans="1:4">
      <c r="A32" t="str">
        <f>Festival_Data_Clean!A32</f>
        <v>Ziro Festival Arunachal</v>
      </c>
      <c r="B32">
        <f>Festival_Data_Clean!J32</f>
        <v>2726932</v>
      </c>
      <c r="C32">
        <f>Festival_Data_Clean!K32</f>
        <v>85424449</v>
      </c>
      <c r="D32" s="10">
        <f t="shared" si="0"/>
        <v>3.1922149126182832E-2</v>
      </c>
    </row>
    <row r="33" spans="1:4">
      <c r="A33" t="str">
        <f>Festival_Data_Clean!A33</f>
        <v>NH7 Pune</v>
      </c>
      <c r="B33">
        <f>Festival_Data_Clean!J33</f>
        <v>1590737</v>
      </c>
      <c r="C33">
        <f>Festival_Data_Clean!K33</f>
        <v>34282241</v>
      </c>
      <c r="D33" s="10">
        <f t="shared" si="0"/>
        <v>4.6401196467873849E-2</v>
      </c>
    </row>
    <row r="34" spans="1:4">
      <c r="A34" t="str">
        <f>Festival_Data_Clean!A34</f>
        <v>Goa Tribal Festival</v>
      </c>
      <c r="B34">
        <f>Festival_Data_Clean!J34</f>
        <v>4738764</v>
      </c>
      <c r="C34">
        <f>Festival_Data_Clean!K34</f>
        <v>44988754</v>
      </c>
      <c r="D34" s="10">
        <f t="shared" si="0"/>
        <v>0.10533219035139316</v>
      </c>
    </row>
    <row r="35" spans="1:4">
      <c r="A35" t="str">
        <f>Festival_Data_Clean!A35</f>
        <v>Ziro Festival Arunachal</v>
      </c>
      <c r="B35">
        <f>Festival_Data_Clean!J35</f>
        <v>2229062</v>
      </c>
      <c r="C35">
        <f>Festival_Data_Clean!K35</f>
        <v>39274422</v>
      </c>
      <c r="D35" s="10">
        <f t="shared" si="0"/>
        <v>5.6756073965900759E-2</v>
      </c>
    </row>
    <row r="36" spans="1:4">
      <c r="A36" t="str">
        <f>Festival_Data_Clean!A36</f>
        <v>NH7 Pune</v>
      </c>
      <c r="B36">
        <f>Festival_Data_Clean!J36</f>
        <v>1120895</v>
      </c>
      <c r="C36">
        <f>Festival_Data_Clean!K36</f>
        <v>104681231</v>
      </c>
      <c r="D36" s="10">
        <f t="shared" si="0"/>
        <v>1.0707697925332956E-2</v>
      </c>
    </row>
    <row r="37" spans="1:4">
      <c r="A37" t="str">
        <f>Festival_Data_Clean!A37</f>
        <v>Lollapalooza Mumbai</v>
      </c>
      <c r="B37">
        <f>Festival_Data_Clean!J37</f>
        <v>4680189</v>
      </c>
      <c r="C37">
        <f>Festival_Data_Clean!K37</f>
        <v>21654174</v>
      </c>
      <c r="D37" s="10">
        <f t="shared" si="0"/>
        <v>0.21613334223692854</v>
      </c>
    </row>
    <row r="38" spans="1:4">
      <c r="A38" t="str">
        <f>Festival_Data_Clean!A38</f>
        <v>VH1 Supersonic Delhi</v>
      </c>
      <c r="B38">
        <f>Festival_Data_Clean!J38</f>
        <v>4091720</v>
      </c>
      <c r="C38">
        <f>Festival_Data_Clean!K38</f>
        <v>149833015</v>
      </c>
      <c r="D38" s="10">
        <f t="shared" si="0"/>
        <v>2.7308534103782135E-2</v>
      </c>
    </row>
    <row r="39" spans="1:4">
      <c r="A39" t="str">
        <f>Festival_Data_Clean!A39</f>
        <v>Bollywood Music Project</v>
      </c>
      <c r="B39">
        <f>Festival_Data_Clean!J39</f>
        <v>1413822</v>
      </c>
      <c r="C39">
        <f>Festival_Data_Clean!K39</f>
        <v>38361278</v>
      </c>
      <c r="D39" s="10">
        <f t="shared" si="0"/>
        <v>3.6855445744013011E-2</v>
      </c>
    </row>
    <row r="40" spans="1:4">
      <c r="A40" t="str">
        <f>Festival_Data_Clean!A40</f>
        <v>Sunburn Goa</v>
      </c>
      <c r="B40">
        <f>Festival_Data_Clean!J40</f>
        <v>4912334</v>
      </c>
      <c r="C40">
        <f>Festival_Data_Clean!K40</f>
        <v>59941398</v>
      </c>
      <c r="D40" s="10">
        <f t="shared" si="0"/>
        <v>8.1952276121421128E-2</v>
      </c>
    </row>
    <row r="41" spans="1:4">
      <c r="A41" t="str">
        <f>Festival_Data_Clean!A41</f>
        <v>Bollywood Music Project</v>
      </c>
      <c r="B41">
        <f>Festival_Data_Clean!J41</f>
        <v>663225</v>
      </c>
      <c r="C41">
        <f>Festival_Data_Clean!K41</f>
        <v>61435521</v>
      </c>
      <c r="D41" s="10">
        <f t="shared" si="0"/>
        <v>1.0795464727970647E-2</v>
      </c>
    </row>
    <row r="42" spans="1:4">
      <c r="A42" t="str">
        <f>Festival_Data_Clean!A42</f>
        <v>Bollywood Music Project</v>
      </c>
      <c r="B42">
        <f>Festival_Data_Clean!J42</f>
        <v>4753926</v>
      </c>
      <c r="C42">
        <f>Festival_Data_Clean!K42</f>
        <v>55773126</v>
      </c>
      <c r="D42" s="10">
        <f t="shared" si="0"/>
        <v>8.5236857622074114E-2</v>
      </c>
    </row>
    <row r="43" spans="1:4">
      <c r="A43" t="str">
        <f>Festival_Data_Clean!A43</f>
        <v>Bollywood Music Project</v>
      </c>
      <c r="B43">
        <f>Festival_Data_Clean!J43</f>
        <v>2483828</v>
      </c>
      <c r="C43">
        <f>Festival_Data_Clean!K43</f>
        <v>30556292</v>
      </c>
      <c r="D43" s="10">
        <f t="shared" si="0"/>
        <v>8.1286957200173371E-2</v>
      </c>
    </row>
    <row r="44" spans="1:4">
      <c r="A44" t="str">
        <f>Festival_Data_Clean!A44</f>
        <v>Lollapalooza Mumbai</v>
      </c>
      <c r="B44">
        <f>Festival_Data_Clean!J44</f>
        <v>3030898</v>
      </c>
      <c r="C44">
        <f>Festival_Data_Clean!K44</f>
        <v>167002302</v>
      </c>
      <c r="D44" s="10">
        <f t="shared" si="0"/>
        <v>1.8148839648928911E-2</v>
      </c>
    </row>
    <row r="45" spans="1:4">
      <c r="A45" t="str">
        <f>Festival_Data_Clean!A45</f>
        <v>Lollapalooza Mumbai</v>
      </c>
      <c r="B45">
        <f>Festival_Data_Clean!J45</f>
        <v>4420985</v>
      </c>
      <c r="C45">
        <f>Festival_Data_Clean!K45</f>
        <v>86985677</v>
      </c>
      <c r="D45" s="10">
        <f t="shared" si="0"/>
        <v>5.0824286853570155E-2</v>
      </c>
    </row>
    <row r="46" spans="1:4">
      <c r="A46" t="str">
        <f>Festival_Data_Clean!A46</f>
        <v>Hornbill Festival Nagaland</v>
      </c>
      <c r="B46">
        <f>Festival_Data_Clean!J46</f>
        <v>4334451</v>
      </c>
      <c r="C46">
        <f>Festival_Data_Clean!K46</f>
        <v>105043029</v>
      </c>
      <c r="D46" s="10">
        <f t="shared" si="0"/>
        <v>4.1263575900881533E-2</v>
      </c>
    </row>
    <row r="47" spans="1:4">
      <c r="A47" t="str">
        <f>Festival_Data_Clean!A47</f>
        <v>Ziro Festival Arunachal</v>
      </c>
      <c r="B47">
        <f>Festival_Data_Clean!J47</f>
        <v>4566892</v>
      </c>
      <c r="C47">
        <f>Festival_Data_Clean!K47</f>
        <v>23928844</v>
      </c>
      <c r="D47" s="10">
        <f t="shared" si="0"/>
        <v>0.19085301404447286</v>
      </c>
    </row>
    <row r="48" spans="1:4">
      <c r="A48" t="str">
        <f>Festival_Data_Clean!A48</f>
        <v>Sunburn Goa</v>
      </c>
      <c r="B48">
        <f>Festival_Data_Clean!J48</f>
        <v>1334941</v>
      </c>
      <c r="C48">
        <f>Festival_Data_Clean!K48</f>
        <v>36325645</v>
      </c>
      <c r="D48" s="10">
        <f t="shared" si="0"/>
        <v>3.6749271761038239E-2</v>
      </c>
    </row>
    <row r="49" spans="1:4">
      <c r="A49" t="str">
        <f>Festival_Data_Clean!A49</f>
        <v>Ziro Festival Arunachal</v>
      </c>
      <c r="B49">
        <f>Festival_Data_Clean!J49</f>
        <v>2805968</v>
      </c>
      <c r="C49">
        <f>Festival_Data_Clean!K49</f>
        <v>38620299</v>
      </c>
      <c r="D49" s="10">
        <f t="shared" si="0"/>
        <v>7.2655263492392957E-2</v>
      </c>
    </row>
    <row r="50" spans="1:4">
      <c r="A50" t="str">
        <f>Festival_Data_Clean!A50</f>
        <v>Supersonic Bengaluru</v>
      </c>
      <c r="B50">
        <f>Festival_Data_Clean!J50</f>
        <v>3409793</v>
      </c>
      <c r="C50">
        <f>Festival_Data_Clean!K50</f>
        <v>16711793</v>
      </c>
      <c r="D50" s="10">
        <f t="shared" si="0"/>
        <v>0.20403513853959296</v>
      </c>
    </row>
    <row r="51" spans="1:4">
      <c r="A51" t="str">
        <f>Festival_Data_Clean!A51</f>
        <v>Supersonic Bengaluru</v>
      </c>
      <c r="B51">
        <f>Festival_Data_Clean!J51</f>
        <v>1785594</v>
      </c>
      <c r="C51">
        <f>Festival_Data_Clean!K51</f>
        <v>108614880</v>
      </c>
      <c r="D51" s="10">
        <f t="shared" si="0"/>
        <v>1.6439681192853134E-2</v>
      </c>
    </row>
    <row r="52" spans="1:4">
      <c r="A52" t="str">
        <f>Festival_Data_Clean!A52</f>
        <v>VH1 Supersonic Delhi</v>
      </c>
      <c r="B52">
        <f>Festival_Data_Clean!J52</f>
        <v>4314798</v>
      </c>
      <c r="C52">
        <f>Festival_Data_Clean!K52</f>
        <v>54199458</v>
      </c>
      <c r="D52" s="10">
        <f t="shared" si="0"/>
        <v>7.9609615284344723E-2</v>
      </c>
    </row>
    <row r="53" spans="1:4">
      <c r="A53" t="str">
        <f>Festival_Data_Clean!A53</f>
        <v>VH1 Supersonic Delhi</v>
      </c>
      <c r="B53">
        <f>Festival_Data_Clean!J53</f>
        <v>3816903</v>
      </c>
      <c r="C53">
        <f>Festival_Data_Clean!K53</f>
        <v>68617287</v>
      </c>
      <c r="D53" s="10">
        <f t="shared" si="0"/>
        <v>5.5625967841019419E-2</v>
      </c>
    </row>
    <row r="54" spans="1:4">
      <c r="A54" t="str">
        <f>Festival_Data_Clean!A54</f>
        <v>Supersonic Bengaluru</v>
      </c>
      <c r="B54">
        <f>Festival_Data_Clean!J54</f>
        <v>4892379</v>
      </c>
      <c r="C54">
        <f>Festival_Data_Clean!K54</f>
        <v>63790395</v>
      </c>
      <c r="D54" s="10">
        <f t="shared" si="0"/>
        <v>7.6694602690577471E-2</v>
      </c>
    </row>
    <row r="55" spans="1:4">
      <c r="A55" t="str">
        <f>Festival_Data_Clean!A55</f>
        <v>VH1 Supersonic Delhi</v>
      </c>
      <c r="B55">
        <f>Festival_Data_Clean!J55</f>
        <v>11048770</v>
      </c>
      <c r="C55">
        <f>Festival_Data_Clean!K55</f>
        <v>36779334</v>
      </c>
      <c r="D55" s="10">
        <f t="shared" si="0"/>
        <v>0.30040701661427582</v>
      </c>
    </row>
    <row r="56" spans="1:4">
      <c r="A56" t="str">
        <f>Festival_Data_Clean!A56</f>
        <v>Ziro Festival Arunachal</v>
      </c>
      <c r="B56">
        <f>Festival_Data_Clean!J56</f>
        <v>4865146</v>
      </c>
      <c r="C56">
        <f>Festival_Data_Clean!K56</f>
        <v>339617008</v>
      </c>
      <c r="D56" s="10">
        <f t="shared" si="0"/>
        <v>1.4325389734309184E-2</v>
      </c>
    </row>
    <row r="57" spans="1:4">
      <c r="A57" t="str">
        <f>Festival_Data_Clean!A57</f>
        <v>Magnetic Fields Rajasthan</v>
      </c>
      <c r="B57">
        <f>Festival_Data_Clean!J57</f>
        <v>1325646</v>
      </c>
      <c r="C57">
        <f>Festival_Data_Clean!K57</f>
        <v>41507304</v>
      </c>
      <c r="D57" s="10">
        <f t="shared" si="0"/>
        <v>3.1937656080963488E-2</v>
      </c>
    </row>
    <row r="58" spans="1:4">
      <c r="A58" t="str">
        <f>Festival_Data_Clean!A58</f>
        <v>Sunburn Goa</v>
      </c>
      <c r="B58">
        <f>Festival_Data_Clean!J58</f>
        <v>2422363</v>
      </c>
      <c r="C58">
        <f>Festival_Data_Clean!K58</f>
        <v>93103121</v>
      </c>
      <c r="D58" s="10">
        <f t="shared" si="0"/>
        <v>2.6018064421277565E-2</v>
      </c>
    </row>
    <row r="59" spans="1:4">
      <c r="A59" t="str">
        <f>Festival_Data_Clean!A59</f>
        <v>Magnetic Fields Rajasthan</v>
      </c>
      <c r="B59">
        <f>Festival_Data_Clean!J59</f>
        <v>3476973</v>
      </c>
      <c r="C59">
        <f>Festival_Data_Clean!K59</f>
        <v>15717666</v>
      </c>
      <c r="D59" s="10">
        <f t="shared" si="0"/>
        <v>0.22121433296775742</v>
      </c>
    </row>
    <row r="60" spans="1:4">
      <c r="A60" t="str">
        <f>Festival_Data_Clean!A60</f>
        <v>Goa Tribal Festival</v>
      </c>
      <c r="B60">
        <f>Festival_Data_Clean!J60</f>
        <v>3713395</v>
      </c>
      <c r="C60">
        <f>Festival_Data_Clean!K60</f>
        <v>99851469</v>
      </c>
      <c r="D60" s="10">
        <f t="shared" si="0"/>
        <v>3.7189187472044104E-2</v>
      </c>
    </row>
    <row r="61" spans="1:4">
      <c r="A61" t="str">
        <f>Festival_Data_Clean!A61</f>
        <v>Ziro Festival Arunachal</v>
      </c>
      <c r="B61">
        <f>Festival_Data_Clean!J61</f>
        <v>854727</v>
      </c>
      <c r="C61">
        <f>Festival_Data_Clean!K61</f>
        <v>122856387</v>
      </c>
      <c r="D61" s="10">
        <f t="shared" si="0"/>
        <v>6.9571230350441611E-3</v>
      </c>
    </row>
    <row r="62" spans="1:4">
      <c r="A62" t="str">
        <f>Festival_Data_Clean!A62</f>
        <v>Bollywood Music Project</v>
      </c>
      <c r="B62">
        <f>Festival_Data_Clean!J62</f>
        <v>3936852</v>
      </c>
      <c r="C62">
        <f>Festival_Data_Clean!K62</f>
        <v>19235476</v>
      </c>
      <c r="D62" s="10">
        <f t="shared" si="0"/>
        <v>0.2046662115353943</v>
      </c>
    </row>
    <row r="63" spans="1:4">
      <c r="A63" t="str">
        <f>Festival_Data_Clean!A63</f>
        <v>Hornbill Festival Nagaland</v>
      </c>
      <c r="B63">
        <f>Festival_Data_Clean!J63</f>
        <v>3103482</v>
      </c>
      <c r="C63">
        <f>Festival_Data_Clean!K63</f>
        <v>184975130</v>
      </c>
      <c r="D63" s="10">
        <f t="shared" si="0"/>
        <v>1.6777833863395583E-2</v>
      </c>
    </row>
    <row r="64" spans="1:4">
      <c r="A64" t="str">
        <f>Festival_Data_Clean!A64</f>
        <v>Bollywood Music Project</v>
      </c>
      <c r="B64">
        <f>Festival_Data_Clean!J64</f>
        <v>1958821</v>
      </c>
      <c r="C64">
        <f>Festival_Data_Clean!K64</f>
        <v>191967964</v>
      </c>
      <c r="D64" s="10">
        <f t="shared" si="0"/>
        <v>1.0203895270775493E-2</v>
      </c>
    </row>
    <row r="65" spans="1:4">
      <c r="A65" t="str">
        <f>Festival_Data_Clean!A65</f>
        <v>Sunburn Goa</v>
      </c>
      <c r="B65">
        <f>Festival_Data_Clean!J65</f>
        <v>3039149</v>
      </c>
      <c r="C65">
        <f>Festival_Data_Clean!K65</f>
        <v>24290802</v>
      </c>
      <c r="D65" s="10">
        <f t="shared" si="0"/>
        <v>0.12511521850945884</v>
      </c>
    </row>
    <row r="66" spans="1:4">
      <c r="A66" t="str">
        <f>Festival_Data_Clean!A66</f>
        <v>Goa Tribal Festival</v>
      </c>
      <c r="B66">
        <f>Festival_Data_Clean!J66</f>
        <v>8648395</v>
      </c>
      <c r="C66">
        <f>Festival_Data_Clean!K66</f>
        <v>142439273</v>
      </c>
      <c r="D66" s="10">
        <f t="shared" si="0"/>
        <v>6.0716365773644462E-2</v>
      </c>
    </row>
    <row r="67" spans="1:4">
      <c r="A67" t="str">
        <f>Festival_Data_Clean!A67</f>
        <v>Magnetic Fields Rajasthan</v>
      </c>
      <c r="B67">
        <f>Festival_Data_Clean!J67</f>
        <v>3564057</v>
      </c>
      <c r="C67">
        <f>Festival_Data_Clean!K67</f>
        <v>106152468</v>
      </c>
      <c r="D67" s="10">
        <f t="shared" ref="D67:D101" si="1">B67/C67</f>
        <v>3.3574885889605506E-2</v>
      </c>
    </row>
    <row r="68" spans="1:4">
      <c r="A68" t="str">
        <f>Festival_Data_Clean!A68</f>
        <v>Sunburn Goa</v>
      </c>
      <c r="B68">
        <f>Festival_Data_Clean!J68</f>
        <v>2266980</v>
      </c>
      <c r="C68">
        <f>Festival_Data_Clean!K68</f>
        <v>83736540</v>
      </c>
      <c r="D68" s="10">
        <f t="shared" si="1"/>
        <v>2.7072768948896146E-2</v>
      </c>
    </row>
    <row r="69" spans="1:4">
      <c r="A69" t="str">
        <f>Festival_Data_Clean!A69</f>
        <v>Bollywood Music Project</v>
      </c>
      <c r="B69">
        <f>Festival_Data_Clean!J69</f>
        <v>2303574</v>
      </c>
      <c r="C69">
        <f>Festival_Data_Clean!K69</f>
        <v>45084574</v>
      </c>
      <c r="D69" s="10">
        <f t="shared" si="1"/>
        <v>5.109450518485547E-2</v>
      </c>
    </row>
    <row r="70" spans="1:4">
      <c r="A70" t="str">
        <f>Festival_Data_Clean!A70</f>
        <v>Goa Tribal Festival</v>
      </c>
      <c r="B70">
        <f>Festival_Data_Clean!J70</f>
        <v>1442642</v>
      </c>
      <c r="C70">
        <f>Festival_Data_Clean!K70</f>
        <v>25530014</v>
      </c>
      <c r="D70" s="10">
        <f t="shared" si="1"/>
        <v>5.6507685424692679E-2</v>
      </c>
    </row>
    <row r="71" spans="1:4">
      <c r="A71" t="str">
        <f>Festival_Data_Clean!A71</f>
        <v>NH7 Pune</v>
      </c>
      <c r="B71">
        <f>Festival_Data_Clean!J71</f>
        <v>3643451</v>
      </c>
      <c r="C71">
        <f>Festival_Data_Clean!K71</f>
        <v>225653667</v>
      </c>
      <c r="D71" s="10">
        <f t="shared" si="1"/>
        <v>1.6146207807914773E-2</v>
      </c>
    </row>
    <row r="72" spans="1:4">
      <c r="A72" t="str">
        <f>Festival_Data_Clean!A72</f>
        <v>VH1 Supersonic Delhi</v>
      </c>
      <c r="B72">
        <f>Festival_Data_Clean!J72</f>
        <v>3519113</v>
      </c>
      <c r="C72">
        <f>Festival_Data_Clean!K72</f>
        <v>49629343</v>
      </c>
      <c r="D72" s="10">
        <f t="shared" si="1"/>
        <v>7.0907910265908619E-2</v>
      </c>
    </row>
    <row r="73" spans="1:4">
      <c r="A73" t="str">
        <f>Festival_Data_Clean!A73</f>
        <v>Goa Tribal Festival</v>
      </c>
      <c r="B73">
        <f>Festival_Data_Clean!J73</f>
        <v>1341541</v>
      </c>
      <c r="C73">
        <f>Festival_Data_Clean!K73</f>
        <v>51102109</v>
      </c>
      <c r="D73" s="10">
        <f t="shared" si="1"/>
        <v>2.6252165052522588E-2</v>
      </c>
    </row>
    <row r="74" spans="1:4">
      <c r="A74" t="str">
        <f>Festival_Data_Clean!A74</f>
        <v>Sunburn Goa</v>
      </c>
      <c r="B74">
        <f>Festival_Data_Clean!J74</f>
        <v>4947667</v>
      </c>
      <c r="C74">
        <f>Festival_Data_Clean!K74</f>
        <v>43592819</v>
      </c>
      <c r="D74" s="10">
        <f t="shared" si="1"/>
        <v>0.11349729413002632</v>
      </c>
    </row>
    <row r="75" spans="1:4">
      <c r="A75" t="str">
        <f>Festival_Data_Clean!A75</f>
        <v>NH7 Pune</v>
      </c>
      <c r="B75">
        <f>Festival_Data_Clean!J75</f>
        <v>4471729</v>
      </c>
      <c r="C75">
        <f>Festival_Data_Clean!K75</f>
        <v>46917337</v>
      </c>
      <c r="D75" s="10">
        <f t="shared" si="1"/>
        <v>9.5310801633946104E-2</v>
      </c>
    </row>
    <row r="76" spans="1:4">
      <c r="A76" t="str">
        <f>Festival_Data_Clean!A76</f>
        <v>Supersonic Bengaluru</v>
      </c>
      <c r="B76">
        <f>Festival_Data_Clean!J76</f>
        <v>1953924</v>
      </c>
      <c r="C76">
        <f>Festival_Data_Clean!K76</f>
        <v>23346669</v>
      </c>
      <c r="D76" s="10">
        <f t="shared" si="1"/>
        <v>8.3691767763529781E-2</v>
      </c>
    </row>
    <row r="77" spans="1:4">
      <c r="A77" t="str">
        <f>Festival_Data_Clean!A77</f>
        <v>Magnetic Fields Rajasthan</v>
      </c>
      <c r="B77">
        <f>Festival_Data_Clean!J77</f>
        <v>1698282</v>
      </c>
      <c r="C77">
        <f>Festival_Data_Clean!K77</f>
        <v>14443722</v>
      </c>
      <c r="D77" s="10">
        <f t="shared" si="1"/>
        <v>0.11757925000218088</v>
      </c>
    </row>
    <row r="78" spans="1:4">
      <c r="A78" t="str">
        <f>Festival_Data_Clean!A78</f>
        <v>Hornbill Festival Nagaland</v>
      </c>
      <c r="B78">
        <f>Festival_Data_Clean!J78</f>
        <v>2510128</v>
      </c>
      <c r="C78">
        <f>Festival_Data_Clean!K78</f>
        <v>170631572</v>
      </c>
      <c r="D78" s="10">
        <f t="shared" si="1"/>
        <v>1.4710806274468361E-2</v>
      </c>
    </row>
    <row r="79" spans="1:4">
      <c r="A79" t="str">
        <f>Festival_Data_Clean!A79</f>
        <v>Hornbill Festival Nagaland</v>
      </c>
      <c r="B79">
        <f>Festival_Data_Clean!J79</f>
        <v>3584230</v>
      </c>
      <c r="C79">
        <f>Festival_Data_Clean!K79</f>
        <v>126301230</v>
      </c>
      <c r="D79" s="10">
        <f t="shared" si="1"/>
        <v>2.8378425134893779E-2</v>
      </c>
    </row>
    <row r="80" spans="1:4">
      <c r="A80" t="str">
        <f>Festival_Data_Clean!A80</f>
        <v>Sunburn Goa</v>
      </c>
      <c r="B80">
        <f>Festival_Data_Clean!J80</f>
        <v>2380633</v>
      </c>
      <c r="C80">
        <f>Festival_Data_Clean!K80</f>
        <v>64588411</v>
      </c>
      <c r="D80" s="10">
        <f t="shared" si="1"/>
        <v>3.6858516305657375E-2</v>
      </c>
    </row>
    <row r="81" spans="1:4">
      <c r="A81" t="str">
        <f>Festival_Data_Clean!A81</f>
        <v>Supersonic Bengaluru</v>
      </c>
      <c r="B81">
        <f>Festival_Data_Clean!J81</f>
        <v>4259028</v>
      </c>
      <c r="C81">
        <f>Festival_Data_Clean!K81</f>
        <v>22387950</v>
      </c>
      <c r="D81" s="10">
        <f t="shared" si="1"/>
        <v>0.1902375161638292</v>
      </c>
    </row>
    <row r="82" spans="1:4">
      <c r="A82" t="str">
        <f>Festival_Data_Clean!A82</f>
        <v>Supersonic Bengaluru</v>
      </c>
      <c r="B82">
        <f>Festival_Data_Clean!J82</f>
        <v>3330904</v>
      </c>
      <c r="C82">
        <f>Festival_Data_Clean!K82</f>
        <v>15126408</v>
      </c>
      <c r="D82" s="10">
        <f t="shared" si="1"/>
        <v>0.22020455880867421</v>
      </c>
    </row>
    <row r="83" spans="1:4">
      <c r="A83" t="str">
        <f>Festival_Data_Clean!A83</f>
        <v>Supersonic Bengaluru</v>
      </c>
      <c r="B83">
        <f>Festival_Data_Clean!J83</f>
        <v>2375872</v>
      </c>
      <c r="C83">
        <f>Festival_Data_Clean!K83</f>
        <v>19625632</v>
      </c>
      <c r="D83" s="10">
        <f t="shared" si="1"/>
        <v>0.12105964281812683</v>
      </c>
    </row>
    <row r="84" spans="1:4">
      <c r="A84" t="str">
        <f>Festival_Data_Clean!A84</f>
        <v>Lollapalooza Mumbai</v>
      </c>
      <c r="B84">
        <f>Festival_Data_Clean!J84</f>
        <v>962979</v>
      </c>
      <c r="C84">
        <f>Festival_Data_Clean!K84</f>
        <v>152681973</v>
      </c>
      <c r="D84" s="10">
        <f t="shared" si="1"/>
        <v>6.307090359645798E-3</v>
      </c>
    </row>
    <row r="85" spans="1:4">
      <c r="A85" t="str">
        <f>Festival_Data_Clean!A85</f>
        <v>Lollapalooza Mumbai</v>
      </c>
      <c r="B85">
        <f>Festival_Data_Clean!J85</f>
        <v>3432767</v>
      </c>
      <c r="C85">
        <f>Festival_Data_Clean!K85</f>
        <v>23974603</v>
      </c>
      <c r="D85" s="10">
        <f t="shared" si="1"/>
        <v>0.14318347628112965</v>
      </c>
    </row>
    <row r="86" spans="1:4">
      <c r="A86" t="str">
        <f>Festival_Data_Clean!A86</f>
        <v>Lollapalooza Mumbai</v>
      </c>
      <c r="B86">
        <f>Festival_Data_Clean!J86</f>
        <v>4584685</v>
      </c>
      <c r="C86">
        <f>Festival_Data_Clean!K86</f>
        <v>26980357</v>
      </c>
      <c r="D86" s="10">
        <f t="shared" si="1"/>
        <v>0.16992677302231399</v>
      </c>
    </row>
    <row r="87" spans="1:4">
      <c r="A87" t="str">
        <f>Festival_Data_Clean!A87</f>
        <v>Ziro Festival Arunachal</v>
      </c>
      <c r="B87">
        <f>Festival_Data_Clean!J87</f>
        <v>659581</v>
      </c>
      <c r="C87">
        <f>Festival_Data_Clean!K87</f>
        <v>30825256</v>
      </c>
      <c r="D87" s="10">
        <f t="shared" si="1"/>
        <v>2.1397421646717225E-2</v>
      </c>
    </row>
    <row r="88" spans="1:4">
      <c r="A88" t="str">
        <f>Festival_Data_Clean!A88</f>
        <v>Sunburn Goa</v>
      </c>
      <c r="B88">
        <f>Festival_Data_Clean!J88</f>
        <v>1012227</v>
      </c>
      <c r="C88">
        <f>Festival_Data_Clean!K88</f>
        <v>16292499</v>
      </c>
      <c r="D88" s="10">
        <f t="shared" si="1"/>
        <v>6.2128406452564462E-2</v>
      </c>
    </row>
    <row r="89" spans="1:4">
      <c r="A89" t="str">
        <f>Festival_Data_Clean!A89</f>
        <v>VH1 Supersonic Delhi</v>
      </c>
      <c r="B89">
        <f>Festival_Data_Clean!J89</f>
        <v>3105094</v>
      </c>
      <c r="C89">
        <f>Festival_Data_Clean!K89</f>
        <v>26701574</v>
      </c>
      <c r="D89" s="10">
        <f t="shared" si="1"/>
        <v>0.11628880005350996</v>
      </c>
    </row>
    <row r="90" spans="1:4">
      <c r="A90" t="str">
        <f>Festival_Data_Clean!A90</f>
        <v>Magnetic Fields Rajasthan</v>
      </c>
      <c r="B90">
        <f>Festival_Data_Clean!J90</f>
        <v>3310368</v>
      </c>
      <c r="C90">
        <f>Festival_Data_Clean!K90</f>
        <v>88781374</v>
      </c>
      <c r="D90" s="10">
        <f t="shared" si="1"/>
        <v>3.728673989659137E-2</v>
      </c>
    </row>
    <row r="91" spans="1:4">
      <c r="A91" t="str">
        <f>Festival_Data_Clean!A91</f>
        <v>Bollywood Music Project</v>
      </c>
      <c r="B91">
        <f>Festival_Data_Clean!J91</f>
        <v>615109</v>
      </c>
      <c r="C91">
        <f>Festival_Data_Clean!K91</f>
        <v>42341199</v>
      </c>
      <c r="D91" s="10">
        <f t="shared" si="1"/>
        <v>1.452743461516052E-2</v>
      </c>
    </row>
    <row r="92" spans="1:4">
      <c r="A92" t="str">
        <f>Festival_Data_Clean!A92</f>
        <v>VH1 Supersonic Delhi</v>
      </c>
      <c r="B92">
        <f>Festival_Data_Clean!J92</f>
        <v>4255125</v>
      </c>
      <c r="C92">
        <f>Festival_Data_Clean!K92</f>
        <v>45752253</v>
      </c>
      <c r="D92" s="10">
        <f t="shared" si="1"/>
        <v>9.3003616674352627E-2</v>
      </c>
    </row>
    <row r="93" spans="1:4">
      <c r="A93" t="str">
        <f>Festival_Data_Clean!A93</f>
        <v>Supersonic Bengaluru</v>
      </c>
      <c r="B93">
        <f>Festival_Data_Clean!J93</f>
        <v>3268157</v>
      </c>
      <c r="C93">
        <f>Festival_Data_Clean!K93</f>
        <v>21531232</v>
      </c>
      <c r="D93" s="10">
        <f t="shared" si="1"/>
        <v>0.15178680904093181</v>
      </c>
    </row>
    <row r="94" spans="1:4">
      <c r="A94" t="str">
        <f>Festival_Data_Clean!A94</f>
        <v>Sunburn Goa</v>
      </c>
      <c r="B94">
        <f>Festival_Data_Clean!J94</f>
        <v>1719569</v>
      </c>
      <c r="C94">
        <f>Festival_Data_Clean!K94</f>
        <v>61125454</v>
      </c>
      <c r="D94" s="10">
        <f t="shared" si="1"/>
        <v>2.8131799233752929E-2</v>
      </c>
    </row>
    <row r="95" spans="1:4">
      <c r="A95" t="str">
        <f>Festival_Data_Clean!A95</f>
        <v>Bollywood Music Project</v>
      </c>
      <c r="B95">
        <f>Festival_Data_Clean!J95</f>
        <v>887815</v>
      </c>
      <c r="C95">
        <f>Festival_Data_Clean!K95</f>
        <v>143689870</v>
      </c>
      <c r="D95" s="10">
        <f t="shared" si="1"/>
        <v>6.1786888665150853E-3</v>
      </c>
    </row>
    <row r="96" spans="1:4">
      <c r="A96" t="str">
        <f>Festival_Data_Clean!A96</f>
        <v>Supersonic Bengaluru</v>
      </c>
      <c r="B96">
        <f>Festival_Data_Clean!J96</f>
        <v>6333350</v>
      </c>
      <c r="C96">
        <f>Festival_Data_Clean!K96</f>
        <v>158405197</v>
      </c>
      <c r="D96" s="10">
        <f t="shared" si="1"/>
        <v>3.9981958420215215E-2</v>
      </c>
    </row>
    <row r="97" spans="1:4">
      <c r="A97" t="str">
        <f>Festival_Data_Clean!A97</f>
        <v>Bollywood Music Project</v>
      </c>
      <c r="B97">
        <f>Festival_Data_Clean!J97</f>
        <v>1549672</v>
      </c>
      <c r="C97">
        <f>Festival_Data_Clean!K97</f>
        <v>56224996</v>
      </c>
      <c r="D97" s="10">
        <f t="shared" si="1"/>
        <v>2.756197617159457E-2</v>
      </c>
    </row>
    <row r="98" spans="1:4">
      <c r="A98" t="str">
        <f>Festival_Data_Clean!A98</f>
        <v>Bollywood Music Project</v>
      </c>
      <c r="B98">
        <f>Festival_Data_Clean!J98</f>
        <v>896661</v>
      </c>
      <c r="C98">
        <f>Festival_Data_Clean!K98</f>
        <v>41871336</v>
      </c>
      <c r="D98" s="10">
        <f t="shared" si="1"/>
        <v>2.14146737519911E-2</v>
      </c>
    </row>
    <row r="99" spans="1:4">
      <c r="A99" t="str">
        <f>Festival_Data_Clean!A99</f>
        <v>Hornbill Festival Nagaland</v>
      </c>
      <c r="B99">
        <f>Festival_Data_Clean!J99</f>
        <v>4292613</v>
      </c>
      <c r="C99">
        <f>Festival_Data_Clean!K99</f>
        <v>23891233</v>
      </c>
      <c r="D99" s="10">
        <f t="shared" si="1"/>
        <v>0.17967314621225283</v>
      </c>
    </row>
    <row r="100" spans="1:4">
      <c r="A100" t="str">
        <f>Festival_Data_Clean!A100</f>
        <v>Hornbill Festival Nagaland</v>
      </c>
      <c r="B100">
        <f>Festival_Data_Clean!J100</f>
        <v>2385440</v>
      </c>
      <c r="C100">
        <f>Festival_Data_Clean!K100</f>
        <v>23010365</v>
      </c>
      <c r="D100" s="10">
        <f t="shared" si="1"/>
        <v>0.1036680643701219</v>
      </c>
    </row>
    <row r="101" spans="1:4">
      <c r="A101" t="str">
        <f>Festival_Data_Clean!A101</f>
        <v>Ziro Festival Arunachal</v>
      </c>
      <c r="B101">
        <f>Festival_Data_Clean!J101</f>
        <v>835232</v>
      </c>
      <c r="C101">
        <f>Festival_Data_Clean!K101</f>
        <v>42318622</v>
      </c>
      <c r="D101" s="10">
        <f t="shared" si="1"/>
        <v>1.9736748517000389E-2</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0730-FBC9-48A2-82BC-4020F450629D}">
  <dimension ref="A1:H101"/>
  <sheetViews>
    <sheetView zoomScale="80" workbookViewId="0">
      <selection activeCell="S25" sqref="S25"/>
    </sheetView>
  </sheetViews>
  <sheetFormatPr defaultRowHeight="14.4"/>
  <cols>
    <col min="1" max="1" width="22.33203125" bestFit="1" customWidth="1"/>
    <col min="2" max="2" width="16.109375" customWidth="1"/>
    <col min="3" max="3" width="21.77734375" customWidth="1"/>
    <col min="4" max="4" width="14.5546875" customWidth="1"/>
    <col min="6" max="6" width="15" customWidth="1"/>
    <col min="7" max="7" width="25.33203125" bestFit="1" customWidth="1"/>
    <col min="8" max="8" width="14.6640625" customWidth="1"/>
  </cols>
  <sheetData>
    <row r="1" spans="1:8">
      <c r="A1" s="11" t="s">
        <v>189</v>
      </c>
      <c r="B1" s="11" t="s">
        <v>190</v>
      </c>
      <c r="C1" s="11" t="s">
        <v>212</v>
      </c>
      <c r="D1" s="11" t="s">
        <v>220</v>
      </c>
      <c r="F1" s="11" t="s">
        <v>220</v>
      </c>
      <c r="G1" s="11" t="s">
        <v>225</v>
      </c>
      <c r="H1" s="11" t="s">
        <v>178</v>
      </c>
    </row>
    <row r="2" spans="1:8">
      <c r="A2" t="str">
        <f>Festival_Data_Clean!A2</f>
        <v>NH7 Pune</v>
      </c>
      <c r="B2">
        <f>Festival_Data_Clean!G2</f>
        <v>1253</v>
      </c>
      <c r="C2">
        <f>Festival_Data_Clean!J2</f>
        <v>3680408</v>
      </c>
      <c r="D2" t="str">
        <f>IF(B2&lt;=1500,"₹0-1,500",IF(B2&lt;=3000,"₹1,501-3,000",IF(B2&lt;=4500,"₹3,001-4,500","₹4,500+")))</f>
        <v>₹0-1,500</v>
      </c>
      <c r="F2" t="s">
        <v>222</v>
      </c>
      <c r="G2" s="8">
        <f>AVERAGEIF($D$2:$D$101,F2,$C$2:$C$101)</f>
        <v>3321161.5945945946</v>
      </c>
      <c r="H2">
        <f>COUNTIF($D$2:$D$101,F2)</f>
        <v>37</v>
      </c>
    </row>
    <row r="3" spans="1:8">
      <c r="A3" t="str">
        <f>Festival_Data_Clean!A3</f>
        <v>Ziro Festival Arunachal</v>
      </c>
      <c r="B3">
        <f>Festival_Data_Clean!G3</f>
        <v>1689</v>
      </c>
      <c r="C3">
        <f>Festival_Data_Clean!J3</f>
        <v>2589481</v>
      </c>
      <c r="D3" t="str">
        <f t="shared" ref="D3:D66" si="0">IF(B3&lt;=1500,"₹0-1,500",IF(B3&lt;=3000,"₹1,501-3,000",IF(B3&lt;=4500,"₹3,001-4,500","₹4,500+")))</f>
        <v>₹1,501-3,000</v>
      </c>
      <c r="F3" t="s">
        <v>224</v>
      </c>
      <c r="G3" s="8">
        <f>AVERAGEIF($D$2:$D$101,F3,$C$2:$C$101)</f>
        <v>3180091.1612903224</v>
      </c>
      <c r="H3">
        <f>COUNTIF($D$2:$D$101,F3)</f>
        <v>31</v>
      </c>
    </row>
    <row r="4" spans="1:8">
      <c r="A4" t="str">
        <f>Festival_Data_Clean!A4</f>
        <v>NH7 Pune</v>
      </c>
      <c r="B4">
        <f>Festival_Data_Clean!G4</f>
        <v>6813.8</v>
      </c>
      <c r="C4">
        <f>Festival_Data_Clean!J4</f>
        <v>640053</v>
      </c>
      <c r="D4" t="str">
        <f t="shared" si="0"/>
        <v>₹4,500+</v>
      </c>
      <c r="F4" t="s">
        <v>223</v>
      </c>
      <c r="G4" s="8">
        <f>AVERAGEIF($D$2:$D$101,F4,$C$2:$C$101)</f>
        <v>2894398.4</v>
      </c>
      <c r="H4">
        <f>COUNTIF($D$2:$D$101,F4)</f>
        <v>15</v>
      </c>
    </row>
    <row r="5" spans="1:8">
      <c r="A5" t="str">
        <f>Festival_Data_Clean!A5</f>
        <v>VH1 Supersonic Delhi</v>
      </c>
      <c r="B5">
        <f>Festival_Data_Clean!G5</f>
        <v>2144</v>
      </c>
      <c r="C5">
        <f>Festival_Data_Clean!J5</f>
        <v>2712686</v>
      </c>
      <c r="D5" t="str">
        <f t="shared" si="0"/>
        <v>₹1,501-3,000</v>
      </c>
      <c r="F5" t="s">
        <v>221</v>
      </c>
      <c r="G5" s="8">
        <f>AVERAGEIF($D$2:$D$101,F5,$C$2:$C$101)</f>
        <v>2379316.1176470588</v>
      </c>
      <c r="H5">
        <f>COUNTIF($D$2:$D$101,F5)</f>
        <v>17</v>
      </c>
    </row>
    <row r="6" spans="1:8">
      <c r="A6" t="str">
        <f>Festival_Data_Clean!A6</f>
        <v>Hornbill Festival Nagaland</v>
      </c>
      <c r="B6">
        <f>Festival_Data_Clean!G6</f>
        <v>1886</v>
      </c>
      <c r="C6">
        <f>Festival_Data_Clean!J6</f>
        <v>1181193</v>
      </c>
      <c r="D6" t="str">
        <f t="shared" si="0"/>
        <v>₹1,501-3,000</v>
      </c>
    </row>
    <row r="7" spans="1:8">
      <c r="A7" t="str">
        <f>Festival_Data_Clean!A7</f>
        <v>Ziro Festival Arunachal</v>
      </c>
      <c r="B7">
        <f>Festival_Data_Clean!G7</f>
        <v>3984</v>
      </c>
      <c r="C7">
        <f>Festival_Data_Clean!J7</f>
        <v>2302603</v>
      </c>
      <c r="D7" t="str">
        <f t="shared" si="0"/>
        <v>₹3,001-4,500</v>
      </c>
      <c r="F7" s="12"/>
    </row>
    <row r="8" spans="1:8">
      <c r="A8" t="str">
        <f>Festival_Data_Clean!A8</f>
        <v>Ziro Festival Arunachal</v>
      </c>
      <c r="B8">
        <f>Festival_Data_Clean!G8</f>
        <v>1162.4000000000001</v>
      </c>
      <c r="C8">
        <f>Festival_Data_Clean!J8</f>
        <v>4948076</v>
      </c>
      <c r="D8" t="str">
        <f t="shared" si="0"/>
        <v>₹0-1,500</v>
      </c>
      <c r="F8" s="12"/>
      <c r="G8" s="13"/>
    </row>
    <row r="9" spans="1:8">
      <c r="A9" t="str">
        <f>Festival_Data_Clean!A9</f>
        <v>NH7 Pune</v>
      </c>
      <c r="B9">
        <f>Festival_Data_Clean!G9</f>
        <v>840</v>
      </c>
      <c r="C9">
        <f>Festival_Data_Clean!J9</f>
        <v>1201595</v>
      </c>
      <c r="D9" t="str">
        <f t="shared" si="0"/>
        <v>₹0-1,500</v>
      </c>
      <c r="F9" s="12"/>
    </row>
    <row r="10" spans="1:8">
      <c r="A10" t="str">
        <f>Festival_Data_Clean!A10</f>
        <v>Bollywood Music Project</v>
      </c>
      <c r="B10">
        <f>Festival_Data_Clean!G10</f>
        <v>4191</v>
      </c>
      <c r="C10">
        <f>Festival_Data_Clean!J10</f>
        <v>3427104</v>
      </c>
      <c r="D10" t="str">
        <f t="shared" si="0"/>
        <v>₹3,001-4,500</v>
      </c>
      <c r="F10" s="12"/>
    </row>
    <row r="11" spans="1:8">
      <c r="A11" t="str">
        <f>Festival_Data_Clean!A11</f>
        <v>Lollapalooza Mumbai</v>
      </c>
      <c r="B11">
        <f>Festival_Data_Clean!G11</f>
        <v>1823</v>
      </c>
      <c r="C11">
        <f>Festival_Data_Clean!J11</f>
        <v>3948781</v>
      </c>
      <c r="D11" t="str">
        <f t="shared" si="0"/>
        <v>₹1,501-3,000</v>
      </c>
    </row>
    <row r="12" spans="1:8">
      <c r="A12" t="str">
        <f>Festival_Data_Clean!A12</f>
        <v>Hornbill Festival Nagaland</v>
      </c>
      <c r="B12">
        <f>Festival_Data_Clean!G12</f>
        <v>3953.6</v>
      </c>
      <c r="C12">
        <f>Festival_Data_Clean!J12</f>
        <v>4798020</v>
      </c>
      <c r="D12" t="str">
        <f t="shared" si="0"/>
        <v>₹3,001-4,500</v>
      </c>
    </row>
    <row r="13" spans="1:8">
      <c r="A13" t="str">
        <f>Festival_Data_Clean!A13</f>
        <v>Sunburn Goa</v>
      </c>
      <c r="B13">
        <f>Festival_Data_Clean!G13</f>
        <v>2842</v>
      </c>
      <c r="C13">
        <f>Festival_Data_Clean!J13</f>
        <v>2851905</v>
      </c>
      <c r="D13" t="str">
        <f t="shared" si="0"/>
        <v>₹1,501-3,000</v>
      </c>
    </row>
    <row r="14" spans="1:8">
      <c r="A14" t="str">
        <f>Festival_Data_Clean!A14</f>
        <v>Supersonic Bengaluru</v>
      </c>
      <c r="B14">
        <f>Festival_Data_Clean!G14</f>
        <v>528</v>
      </c>
      <c r="C14">
        <f>Festival_Data_Clean!J14</f>
        <v>3167786</v>
      </c>
      <c r="D14" t="str">
        <f t="shared" si="0"/>
        <v>₹0-1,500</v>
      </c>
    </row>
    <row r="15" spans="1:8">
      <c r="A15" t="str">
        <f>Festival_Data_Clean!A15</f>
        <v>Magnetic Fields Rajasthan</v>
      </c>
      <c r="B15">
        <f>Festival_Data_Clean!G15</f>
        <v>1543</v>
      </c>
      <c r="C15">
        <f>Festival_Data_Clean!J15</f>
        <v>2897760</v>
      </c>
      <c r="D15" t="str">
        <f t="shared" si="0"/>
        <v>₹1,501-3,000</v>
      </c>
    </row>
    <row r="16" spans="1:8">
      <c r="A16" t="str">
        <f>Festival_Data_Clean!A16</f>
        <v>Hornbill Festival Nagaland</v>
      </c>
      <c r="B16">
        <f>Festival_Data_Clean!G16</f>
        <v>2188</v>
      </c>
      <c r="C16">
        <f>Festival_Data_Clean!J16</f>
        <v>4600450</v>
      </c>
      <c r="D16" t="str">
        <f t="shared" si="0"/>
        <v>₹1,501-3,000</v>
      </c>
    </row>
    <row r="17" spans="1:4">
      <c r="A17" t="str">
        <f>Festival_Data_Clean!A17</f>
        <v>VH1 Supersonic Delhi</v>
      </c>
      <c r="B17">
        <f>Festival_Data_Clean!G17</f>
        <v>2217.6</v>
      </c>
      <c r="C17">
        <f>Festival_Data_Clean!J17</f>
        <v>795307</v>
      </c>
      <c r="D17" t="str">
        <f t="shared" si="0"/>
        <v>₹1,501-3,000</v>
      </c>
    </row>
    <row r="18" spans="1:4">
      <c r="A18" t="str">
        <f>Festival_Data_Clean!A18</f>
        <v>Lollapalooza Mumbai</v>
      </c>
      <c r="B18">
        <f>Festival_Data_Clean!G18</f>
        <v>5397</v>
      </c>
      <c r="C18">
        <f>Festival_Data_Clean!J18</f>
        <v>2188470</v>
      </c>
      <c r="D18" t="str">
        <f t="shared" si="0"/>
        <v>₹4,500+</v>
      </c>
    </row>
    <row r="19" spans="1:4">
      <c r="A19" t="str">
        <f>Festival_Data_Clean!A19</f>
        <v>Ziro Festival Arunachal</v>
      </c>
      <c r="B19">
        <f>Festival_Data_Clean!G19</f>
        <v>1601.6</v>
      </c>
      <c r="C19">
        <f>Festival_Data_Clean!J19</f>
        <v>3635278</v>
      </c>
      <c r="D19" t="str">
        <f t="shared" si="0"/>
        <v>₹1,501-3,000</v>
      </c>
    </row>
    <row r="20" spans="1:4">
      <c r="A20" t="str">
        <f>Festival_Data_Clean!A20</f>
        <v>Ziro Festival Arunachal</v>
      </c>
      <c r="B20">
        <f>Festival_Data_Clean!G20</f>
        <v>4564</v>
      </c>
      <c r="C20">
        <f>Festival_Data_Clean!J20</f>
        <v>4732974</v>
      </c>
      <c r="D20" t="str">
        <f t="shared" si="0"/>
        <v>₹4,500+</v>
      </c>
    </row>
    <row r="21" spans="1:4">
      <c r="A21" t="str">
        <f>Festival_Data_Clean!A21</f>
        <v>Sunburn Goa</v>
      </c>
      <c r="B21">
        <f>Festival_Data_Clean!G21</f>
        <v>3350.2</v>
      </c>
      <c r="C21">
        <f>Festival_Data_Clean!J21</f>
        <v>3001940</v>
      </c>
      <c r="D21" t="str">
        <f t="shared" si="0"/>
        <v>₹3,001-4,500</v>
      </c>
    </row>
    <row r="22" spans="1:4">
      <c r="A22" t="str">
        <f>Festival_Data_Clean!A22</f>
        <v>Sunburn Goa</v>
      </c>
      <c r="B22">
        <f>Festival_Data_Clean!G22</f>
        <v>4045</v>
      </c>
      <c r="C22">
        <f>Festival_Data_Clean!J22</f>
        <v>4670910</v>
      </c>
      <c r="D22" t="str">
        <f t="shared" si="0"/>
        <v>₹3,001-4,500</v>
      </c>
    </row>
    <row r="23" spans="1:4">
      <c r="A23" t="str">
        <f>Festival_Data_Clean!A23</f>
        <v>Sunburn Goa</v>
      </c>
      <c r="B23">
        <f>Festival_Data_Clean!G23</f>
        <v>1008</v>
      </c>
      <c r="C23">
        <f>Festival_Data_Clean!J23</f>
        <v>1632574</v>
      </c>
      <c r="D23" t="str">
        <f t="shared" si="0"/>
        <v>₹0-1,500</v>
      </c>
    </row>
    <row r="24" spans="1:4">
      <c r="A24" t="str">
        <f>Festival_Data_Clean!A24</f>
        <v>NH7 Pune</v>
      </c>
      <c r="B24">
        <f>Festival_Data_Clean!G24</f>
        <v>2334</v>
      </c>
      <c r="C24">
        <f>Festival_Data_Clean!J24</f>
        <v>1067015</v>
      </c>
      <c r="D24" t="str">
        <f t="shared" si="0"/>
        <v>₹1,501-3,000</v>
      </c>
    </row>
    <row r="25" spans="1:4">
      <c r="A25" t="str">
        <f>Festival_Data_Clean!A25</f>
        <v>Goa Tribal Festival</v>
      </c>
      <c r="B25">
        <f>Festival_Data_Clean!G25</f>
        <v>2930.05</v>
      </c>
      <c r="C25">
        <f>Festival_Data_Clean!J25</f>
        <v>2403962</v>
      </c>
      <c r="D25" t="str">
        <f t="shared" si="0"/>
        <v>₹1,501-3,000</v>
      </c>
    </row>
    <row r="26" spans="1:4">
      <c r="A26" t="str">
        <f>Festival_Data_Clean!A26</f>
        <v>Magnetic Fields Rajasthan</v>
      </c>
      <c r="B26">
        <f>Festival_Data_Clean!G26</f>
        <v>3977</v>
      </c>
      <c r="C26">
        <f>Festival_Data_Clean!J26</f>
        <v>4689343</v>
      </c>
      <c r="D26" t="str">
        <f t="shared" si="0"/>
        <v>₹3,001-4,500</v>
      </c>
    </row>
    <row r="27" spans="1:4">
      <c r="A27" t="str">
        <f>Festival_Data_Clean!A27</f>
        <v>Sunburn Goa</v>
      </c>
      <c r="B27">
        <f>Festival_Data_Clean!G27</f>
        <v>3449</v>
      </c>
      <c r="C27">
        <f>Festival_Data_Clean!J27</f>
        <v>3471436</v>
      </c>
      <c r="D27" t="str">
        <f t="shared" si="0"/>
        <v>₹3,001-4,500</v>
      </c>
    </row>
    <row r="28" spans="1:4">
      <c r="A28" t="str">
        <f>Festival_Data_Clean!A28</f>
        <v>Hornbill Festival Nagaland</v>
      </c>
      <c r="B28">
        <f>Festival_Data_Clean!G28</f>
        <v>3668</v>
      </c>
      <c r="C28">
        <f>Festival_Data_Clean!J28</f>
        <v>2377592</v>
      </c>
      <c r="D28" t="str">
        <f t="shared" si="0"/>
        <v>₹3,001-4,500</v>
      </c>
    </row>
    <row r="29" spans="1:4">
      <c r="A29" t="str">
        <f>Festival_Data_Clean!A29</f>
        <v>NH7 Pune</v>
      </c>
      <c r="B29">
        <f>Festival_Data_Clean!G29</f>
        <v>3279</v>
      </c>
      <c r="C29">
        <f>Festival_Data_Clean!J29</f>
        <v>2840750</v>
      </c>
      <c r="D29" t="str">
        <f t="shared" si="0"/>
        <v>₹3,001-4,500</v>
      </c>
    </row>
    <row r="30" spans="1:4">
      <c r="A30" t="str">
        <f>Festival_Data_Clean!A30</f>
        <v>NH7 Pune</v>
      </c>
      <c r="B30">
        <f>Festival_Data_Clean!G30</f>
        <v>2948</v>
      </c>
      <c r="C30">
        <f>Festival_Data_Clean!J30</f>
        <v>2704822</v>
      </c>
      <c r="D30" t="str">
        <f t="shared" si="0"/>
        <v>₹1,501-3,000</v>
      </c>
    </row>
    <row r="31" spans="1:4">
      <c r="A31" t="str">
        <f>Festival_Data_Clean!A31</f>
        <v>NH7 Pune</v>
      </c>
      <c r="B31">
        <f>Festival_Data_Clean!G31</f>
        <v>2749.6</v>
      </c>
      <c r="C31">
        <f>Festival_Data_Clean!J31</f>
        <v>3956927</v>
      </c>
      <c r="D31" t="str">
        <f t="shared" si="0"/>
        <v>₹1,501-3,000</v>
      </c>
    </row>
    <row r="32" spans="1:4">
      <c r="A32" t="str">
        <f>Festival_Data_Clean!A32</f>
        <v>Ziro Festival Arunachal</v>
      </c>
      <c r="B32">
        <f>Festival_Data_Clean!G32</f>
        <v>4503</v>
      </c>
      <c r="C32">
        <f>Festival_Data_Clean!J32</f>
        <v>2726932</v>
      </c>
      <c r="D32" t="str">
        <f t="shared" si="0"/>
        <v>₹4,500+</v>
      </c>
    </row>
    <row r="33" spans="1:4">
      <c r="A33" t="str">
        <f>Festival_Data_Clean!A33</f>
        <v>NH7 Pune</v>
      </c>
      <c r="B33">
        <f>Festival_Data_Clean!G33</f>
        <v>632</v>
      </c>
      <c r="C33">
        <f>Festival_Data_Clean!J33</f>
        <v>1590737</v>
      </c>
      <c r="D33" t="str">
        <f t="shared" si="0"/>
        <v>₹0-1,500</v>
      </c>
    </row>
    <row r="34" spans="1:4">
      <c r="A34" t="str">
        <f>Festival_Data_Clean!A34</f>
        <v>Goa Tribal Festival</v>
      </c>
      <c r="B34">
        <f>Festival_Data_Clean!G34</f>
        <v>1932</v>
      </c>
      <c r="C34">
        <f>Festival_Data_Clean!J34</f>
        <v>4738764</v>
      </c>
      <c r="D34" t="str">
        <f t="shared" si="0"/>
        <v>₹1,501-3,000</v>
      </c>
    </row>
    <row r="35" spans="1:4">
      <c r="A35" t="str">
        <f>Festival_Data_Clean!A35</f>
        <v>Ziro Festival Arunachal</v>
      </c>
      <c r="B35">
        <f>Festival_Data_Clean!G35</f>
        <v>1598.8</v>
      </c>
      <c r="C35">
        <f>Festival_Data_Clean!J35</f>
        <v>2229062</v>
      </c>
      <c r="D35" t="str">
        <f t="shared" si="0"/>
        <v>₹1,501-3,000</v>
      </c>
    </row>
    <row r="36" spans="1:4">
      <c r="A36" t="str">
        <f>Festival_Data_Clean!A36</f>
        <v>NH7 Pune</v>
      </c>
      <c r="B36">
        <f>Festival_Data_Clean!G36</f>
        <v>1933</v>
      </c>
      <c r="C36">
        <f>Festival_Data_Clean!J36</f>
        <v>1120895</v>
      </c>
      <c r="D36" t="str">
        <f t="shared" si="0"/>
        <v>₹1,501-3,000</v>
      </c>
    </row>
    <row r="37" spans="1:4">
      <c r="A37" t="str">
        <f>Festival_Data_Clean!A37</f>
        <v>Lollapalooza Mumbai</v>
      </c>
      <c r="B37">
        <f>Festival_Data_Clean!G37</f>
        <v>1824</v>
      </c>
      <c r="C37">
        <f>Festival_Data_Clean!J37</f>
        <v>4680189</v>
      </c>
      <c r="D37" t="str">
        <f t="shared" si="0"/>
        <v>₹1,501-3,000</v>
      </c>
    </row>
    <row r="38" spans="1:4">
      <c r="A38" t="str">
        <f>Festival_Data_Clean!A38</f>
        <v>VH1 Supersonic Delhi</v>
      </c>
      <c r="B38">
        <f>Festival_Data_Clean!G38</f>
        <v>4452</v>
      </c>
      <c r="C38">
        <f>Festival_Data_Clean!J38</f>
        <v>4091720</v>
      </c>
      <c r="D38" t="str">
        <f t="shared" si="0"/>
        <v>₹3,001-4,500</v>
      </c>
    </row>
    <row r="39" spans="1:4">
      <c r="A39" t="str">
        <f>Festival_Data_Clean!A39</f>
        <v>Bollywood Music Project</v>
      </c>
      <c r="B39">
        <f>Festival_Data_Clean!G39</f>
        <v>2716</v>
      </c>
      <c r="C39">
        <f>Festival_Data_Clean!J39</f>
        <v>1413822</v>
      </c>
      <c r="D39" t="str">
        <f t="shared" si="0"/>
        <v>₹1,501-3,000</v>
      </c>
    </row>
    <row r="40" spans="1:4">
      <c r="A40" t="str">
        <f>Festival_Data_Clean!A40</f>
        <v>Sunburn Goa</v>
      </c>
      <c r="B40">
        <f>Festival_Data_Clean!G40</f>
        <v>2237</v>
      </c>
      <c r="C40">
        <f>Festival_Data_Clean!J40</f>
        <v>4912334</v>
      </c>
      <c r="D40" t="str">
        <f t="shared" si="0"/>
        <v>₹1,501-3,000</v>
      </c>
    </row>
    <row r="41" spans="1:4">
      <c r="A41" t="str">
        <f>Festival_Data_Clean!A41</f>
        <v>Bollywood Music Project</v>
      </c>
      <c r="B41">
        <f>Festival_Data_Clean!G41</f>
        <v>1412</v>
      </c>
      <c r="C41">
        <f>Festival_Data_Clean!J41</f>
        <v>663225</v>
      </c>
      <c r="D41" t="str">
        <f t="shared" si="0"/>
        <v>₹0-1,500</v>
      </c>
    </row>
    <row r="42" spans="1:4">
      <c r="A42" t="str">
        <f>Festival_Data_Clean!A42</f>
        <v>Bollywood Music Project</v>
      </c>
      <c r="B42">
        <f>Festival_Data_Clean!G42</f>
        <v>836</v>
      </c>
      <c r="C42">
        <f>Festival_Data_Clean!J42</f>
        <v>4753926</v>
      </c>
      <c r="D42" t="str">
        <f t="shared" si="0"/>
        <v>₹0-1,500</v>
      </c>
    </row>
    <row r="43" spans="1:4">
      <c r="A43" t="str">
        <f>Festival_Data_Clean!A43</f>
        <v>Bollywood Music Project</v>
      </c>
      <c r="B43">
        <f>Festival_Data_Clean!G43</f>
        <v>625</v>
      </c>
      <c r="C43">
        <f>Festival_Data_Clean!J43</f>
        <v>2483828</v>
      </c>
      <c r="D43" t="str">
        <f t="shared" si="0"/>
        <v>₹0-1,500</v>
      </c>
    </row>
    <row r="44" spans="1:4">
      <c r="A44" t="str">
        <f>Festival_Data_Clean!A44</f>
        <v>Lollapalooza Mumbai</v>
      </c>
      <c r="B44">
        <f>Festival_Data_Clean!G44</f>
        <v>4629</v>
      </c>
      <c r="C44">
        <f>Festival_Data_Clean!J44</f>
        <v>3030898</v>
      </c>
      <c r="D44" t="str">
        <f t="shared" si="0"/>
        <v>₹4,500+</v>
      </c>
    </row>
    <row r="45" spans="1:4">
      <c r="A45" t="str">
        <f>Festival_Data_Clean!A45</f>
        <v>Lollapalooza Mumbai</v>
      </c>
      <c r="B45">
        <f>Festival_Data_Clean!G45</f>
        <v>3412</v>
      </c>
      <c r="C45">
        <f>Festival_Data_Clean!J45</f>
        <v>4420985</v>
      </c>
      <c r="D45" t="str">
        <f t="shared" si="0"/>
        <v>₹3,001-4,500</v>
      </c>
    </row>
    <row r="46" spans="1:4">
      <c r="A46" t="str">
        <f>Festival_Data_Clean!A46</f>
        <v>Hornbill Festival Nagaland</v>
      </c>
      <c r="B46">
        <f>Festival_Data_Clean!G46</f>
        <v>2105</v>
      </c>
      <c r="C46">
        <f>Festival_Data_Clean!J46</f>
        <v>4334451</v>
      </c>
      <c r="D46" t="str">
        <f t="shared" si="0"/>
        <v>₹1,501-3,000</v>
      </c>
    </row>
    <row r="47" spans="1:4">
      <c r="A47" t="str">
        <f>Festival_Data_Clean!A47</f>
        <v>Ziro Festival Arunachal</v>
      </c>
      <c r="B47">
        <f>Festival_Data_Clean!G47</f>
        <v>737</v>
      </c>
      <c r="C47">
        <f>Festival_Data_Clean!J47</f>
        <v>4566892</v>
      </c>
      <c r="D47" t="str">
        <f t="shared" si="0"/>
        <v>₹0-1,500</v>
      </c>
    </row>
    <row r="48" spans="1:4">
      <c r="A48" t="str">
        <f>Festival_Data_Clean!A48</f>
        <v>Sunburn Goa</v>
      </c>
      <c r="B48">
        <f>Festival_Data_Clean!G48</f>
        <v>933</v>
      </c>
      <c r="C48">
        <f>Festival_Data_Clean!J48</f>
        <v>1334941</v>
      </c>
      <c r="D48" t="str">
        <f t="shared" si="0"/>
        <v>₹0-1,500</v>
      </c>
    </row>
    <row r="49" spans="1:4">
      <c r="A49" t="str">
        <f>Festival_Data_Clean!A49</f>
        <v>Ziro Festival Arunachal</v>
      </c>
      <c r="B49">
        <f>Festival_Data_Clean!G49</f>
        <v>4503</v>
      </c>
      <c r="C49">
        <f>Festival_Data_Clean!J49</f>
        <v>2805968</v>
      </c>
      <c r="D49" t="str">
        <f t="shared" si="0"/>
        <v>₹4,500+</v>
      </c>
    </row>
    <row r="50" spans="1:4">
      <c r="A50" t="str">
        <f>Festival_Data_Clean!A50</f>
        <v>Supersonic Bengaluru</v>
      </c>
      <c r="B50">
        <f>Festival_Data_Clean!G50</f>
        <v>2615.1999999999998</v>
      </c>
      <c r="C50">
        <f>Festival_Data_Clean!J50</f>
        <v>3409793</v>
      </c>
      <c r="D50" t="str">
        <f t="shared" si="0"/>
        <v>₹1,501-3,000</v>
      </c>
    </row>
    <row r="51" spans="1:4">
      <c r="A51" t="str">
        <f>Festival_Data_Clean!A51</f>
        <v>Supersonic Bengaluru</v>
      </c>
      <c r="B51">
        <f>Festival_Data_Clean!G51</f>
        <v>4046</v>
      </c>
      <c r="C51">
        <f>Festival_Data_Clean!J51</f>
        <v>1785594</v>
      </c>
      <c r="D51" t="str">
        <f t="shared" si="0"/>
        <v>₹3,001-4,500</v>
      </c>
    </row>
    <row r="52" spans="1:4">
      <c r="A52" t="str">
        <f>Festival_Data_Clean!A52</f>
        <v>VH1 Supersonic Delhi</v>
      </c>
      <c r="B52">
        <f>Festival_Data_Clean!G52</f>
        <v>4613</v>
      </c>
      <c r="C52">
        <f>Festival_Data_Clean!J52</f>
        <v>4314798</v>
      </c>
      <c r="D52" t="str">
        <f t="shared" si="0"/>
        <v>₹4,500+</v>
      </c>
    </row>
    <row r="53" spans="1:4">
      <c r="A53" t="str">
        <f>Festival_Data_Clean!A53</f>
        <v>VH1 Supersonic Delhi</v>
      </c>
      <c r="B53">
        <f>Festival_Data_Clean!G53</f>
        <v>3437</v>
      </c>
      <c r="C53">
        <f>Festival_Data_Clean!J53</f>
        <v>3816903</v>
      </c>
      <c r="D53" t="str">
        <f t="shared" si="0"/>
        <v>₹3,001-4,500</v>
      </c>
    </row>
    <row r="54" spans="1:4">
      <c r="A54" t="str">
        <f>Festival_Data_Clean!A54</f>
        <v>Supersonic Bengaluru</v>
      </c>
      <c r="B54">
        <f>Festival_Data_Clean!G54</f>
        <v>2167</v>
      </c>
      <c r="C54">
        <f>Festival_Data_Clean!J54</f>
        <v>4892379</v>
      </c>
      <c r="D54" t="str">
        <f t="shared" si="0"/>
        <v>₹1,501-3,000</v>
      </c>
    </row>
    <row r="55" spans="1:4">
      <c r="A55" t="str">
        <f>Festival_Data_Clean!A55</f>
        <v>VH1 Supersonic Delhi</v>
      </c>
      <c r="B55">
        <f>Festival_Data_Clean!G55</f>
        <v>2289</v>
      </c>
      <c r="C55">
        <f>Festival_Data_Clean!J55</f>
        <v>11048770</v>
      </c>
      <c r="D55" t="str">
        <f t="shared" si="0"/>
        <v>₹1,501-3,000</v>
      </c>
    </row>
    <row r="56" spans="1:4">
      <c r="A56" t="str">
        <f>Festival_Data_Clean!A56</f>
        <v>Ziro Festival Arunachal</v>
      </c>
      <c r="B56">
        <f>Festival_Data_Clean!G56</f>
        <v>2495</v>
      </c>
      <c r="C56">
        <f>Festival_Data_Clean!J56</f>
        <v>4865146</v>
      </c>
      <c r="D56" t="str">
        <f t="shared" si="0"/>
        <v>₹1,501-3,000</v>
      </c>
    </row>
    <row r="57" spans="1:4">
      <c r="A57" t="str">
        <f>Festival_Data_Clean!A57</f>
        <v>Magnetic Fields Rajasthan</v>
      </c>
      <c r="B57">
        <f>Festival_Data_Clean!G57</f>
        <v>1244.5999999999999</v>
      </c>
      <c r="C57">
        <f>Festival_Data_Clean!J57</f>
        <v>1325646</v>
      </c>
      <c r="D57" t="str">
        <f t="shared" si="0"/>
        <v>₹0-1,500</v>
      </c>
    </row>
    <row r="58" spans="1:4">
      <c r="A58" t="str">
        <f>Festival_Data_Clean!A58</f>
        <v>Sunburn Goa</v>
      </c>
      <c r="B58">
        <f>Festival_Data_Clean!G58</f>
        <v>4120</v>
      </c>
      <c r="C58">
        <f>Festival_Data_Clean!J58</f>
        <v>2422363</v>
      </c>
      <c r="D58" t="str">
        <f t="shared" si="0"/>
        <v>₹3,001-4,500</v>
      </c>
    </row>
    <row r="59" spans="1:4">
      <c r="A59" t="str">
        <f>Festival_Data_Clean!A59</f>
        <v>Magnetic Fields Rajasthan</v>
      </c>
      <c r="B59">
        <f>Festival_Data_Clean!G59</f>
        <v>2930.05</v>
      </c>
      <c r="C59">
        <f>Festival_Data_Clean!J59</f>
        <v>3476973</v>
      </c>
      <c r="D59" t="str">
        <f t="shared" si="0"/>
        <v>₹1,501-3,000</v>
      </c>
    </row>
    <row r="60" spans="1:4">
      <c r="A60" t="str">
        <f>Festival_Data_Clean!A60</f>
        <v>Goa Tribal Festival</v>
      </c>
      <c r="B60">
        <f>Festival_Data_Clean!G60</f>
        <v>4459</v>
      </c>
      <c r="C60">
        <f>Festival_Data_Clean!J60</f>
        <v>3713395</v>
      </c>
      <c r="D60" t="str">
        <f t="shared" si="0"/>
        <v>₹3,001-4,500</v>
      </c>
    </row>
    <row r="61" spans="1:4">
      <c r="A61" t="str">
        <f>Festival_Data_Clean!A61</f>
        <v>Ziro Festival Arunachal</v>
      </c>
      <c r="B61">
        <f>Festival_Data_Clean!G61</f>
        <v>3984</v>
      </c>
      <c r="C61">
        <f>Festival_Data_Clean!J61</f>
        <v>854727</v>
      </c>
      <c r="D61" t="str">
        <f t="shared" si="0"/>
        <v>₹3,001-4,500</v>
      </c>
    </row>
    <row r="62" spans="1:4">
      <c r="A62" t="str">
        <f>Festival_Data_Clean!A62</f>
        <v>Bollywood Music Project</v>
      </c>
      <c r="B62">
        <f>Festival_Data_Clean!G62</f>
        <v>3586</v>
      </c>
      <c r="C62">
        <f>Festival_Data_Clean!J62</f>
        <v>3936852</v>
      </c>
      <c r="D62" t="str">
        <f t="shared" si="0"/>
        <v>₹3,001-4,500</v>
      </c>
    </row>
    <row r="63" spans="1:4">
      <c r="A63" t="str">
        <f>Festival_Data_Clean!A63</f>
        <v>Hornbill Festival Nagaland</v>
      </c>
      <c r="B63">
        <f>Festival_Data_Clean!G63</f>
        <v>4134</v>
      </c>
      <c r="C63">
        <f>Festival_Data_Clean!J63</f>
        <v>3103482</v>
      </c>
      <c r="D63" t="str">
        <f t="shared" si="0"/>
        <v>₹3,001-4,500</v>
      </c>
    </row>
    <row r="64" spans="1:4">
      <c r="A64" t="str">
        <f>Festival_Data_Clean!A64</f>
        <v>Bollywood Music Project</v>
      </c>
      <c r="B64">
        <f>Festival_Data_Clean!G64</f>
        <v>5391.4</v>
      </c>
      <c r="C64">
        <f>Festival_Data_Clean!J64</f>
        <v>1958821</v>
      </c>
      <c r="D64" t="str">
        <f t="shared" si="0"/>
        <v>₹4,500+</v>
      </c>
    </row>
    <row r="65" spans="1:4">
      <c r="A65" t="str">
        <f>Festival_Data_Clean!A65</f>
        <v>Sunburn Goa</v>
      </c>
      <c r="B65">
        <f>Festival_Data_Clean!G65</f>
        <v>4045</v>
      </c>
      <c r="C65">
        <f>Festival_Data_Clean!J65</f>
        <v>3039149</v>
      </c>
      <c r="D65" t="str">
        <f t="shared" si="0"/>
        <v>₹3,001-4,500</v>
      </c>
    </row>
    <row r="66" spans="1:4">
      <c r="A66" t="str">
        <f>Festival_Data_Clean!A66</f>
        <v>Goa Tribal Festival</v>
      </c>
      <c r="B66">
        <f>Festival_Data_Clean!G66</f>
        <v>3769</v>
      </c>
      <c r="C66">
        <f>Festival_Data_Clean!J66</f>
        <v>8648395</v>
      </c>
      <c r="D66" t="str">
        <f t="shared" si="0"/>
        <v>₹3,001-4,500</v>
      </c>
    </row>
    <row r="67" spans="1:4">
      <c r="A67" t="str">
        <f>Festival_Data_Clean!A67</f>
        <v>Magnetic Fields Rajasthan</v>
      </c>
      <c r="B67">
        <f>Festival_Data_Clean!G67</f>
        <v>2589</v>
      </c>
      <c r="C67">
        <f>Festival_Data_Clean!J67</f>
        <v>3564057</v>
      </c>
      <c r="D67" t="str">
        <f t="shared" ref="D67:D101" si="1">IF(B67&lt;=1500,"₹0-1,500",IF(B67&lt;=3000,"₹1,501-3,000",IF(B67&lt;=4500,"₹3,001-4,500","₹4,500+")))</f>
        <v>₹1,501-3,000</v>
      </c>
    </row>
    <row r="68" spans="1:4">
      <c r="A68" t="str">
        <f>Festival_Data_Clean!A68</f>
        <v>Sunburn Goa</v>
      </c>
      <c r="B68">
        <f>Festival_Data_Clean!G68</f>
        <v>1867.6</v>
      </c>
      <c r="C68">
        <f>Festival_Data_Clean!J68</f>
        <v>2266980</v>
      </c>
      <c r="D68" t="str">
        <f t="shared" si="1"/>
        <v>₹1,501-3,000</v>
      </c>
    </row>
    <row r="69" spans="1:4">
      <c r="A69" t="str">
        <f>Festival_Data_Clean!A69</f>
        <v>Bollywood Music Project</v>
      </c>
      <c r="B69">
        <f>Festival_Data_Clean!G69</f>
        <v>4078</v>
      </c>
      <c r="C69">
        <f>Festival_Data_Clean!J69</f>
        <v>2303574</v>
      </c>
      <c r="D69" t="str">
        <f t="shared" si="1"/>
        <v>₹3,001-4,500</v>
      </c>
    </row>
    <row r="70" spans="1:4">
      <c r="A70" t="str">
        <f>Festival_Data_Clean!A70</f>
        <v>Goa Tribal Festival</v>
      </c>
      <c r="B70">
        <f>Festival_Data_Clean!G70</f>
        <v>1381</v>
      </c>
      <c r="C70">
        <f>Festival_Data_Clean!J70</f>
        <v>1442642</v>
      </c>
      <c r="D70" t="str">
        <f t="shared" si="1"/>
        <v>₹0-1,500</v>
      </c>
    </row>
    <row r="71" spans="1:4">
      <c r="A71" t="str">
        <f>Festival_Data_Clean!A71</f>
        <v>NH7 Pune</v>
      </c>
      <c r="B71">
        <f>Festival_Data_Clean!G71</f>
        <v>6914.6</v>
      </c>
      <c r="C71">
        <f>Festival_Data_Clean!J71</f>
        <v>3643451</v>
      </c>
      <c r="D71" t="str">
        <f t="shared" si="1"/>
        <v>₹4,500+</v>
      </c>
    </row>
    <row r="72" spans="1:4">
      <c r="A72" t="str">
        <f>Festival_Data_Clean!A72</f>
        <v>VH1 Supersonic Delhi</v>
      </c>
      <c r="B72">
        <f>Festival_Data_Clean!G72</f>
        <v>2817</v>
      </c>
      <c r="C72">
        <f>Festival_Data_Clean!J72</f>
        <v>3519113</v>
      </c>
      <c r="D72" t="str">
        <f t="shared" si="1"/>
        <v>₹1,501-3,000</v>
      </c>
    </row>
    <row r="73" spans="1:4">
      <c r="A73" t="str">
        <f>Festival_Data_Clean!A73</f>
        <v>Goa Tribal Festival</v>
      </c>
      <c r="B73">
        <f>Festival_Data_Clean!G73</f>
        <v>2937</v>
      </c>
      <c r="C73">
        <f>Festival_Data_Clean!J73</f>
        <v>1341541</v>
      </c>
      <c r="D73" t="str">
        <f t="shared" si="1"/>
        <v>₹1,501-3,000</v>
      </c>
    </row>
    <row r="74" spans="1:4">
      <c r="A74" t="str">
        <f>Festival_Data_Clean!A74</f>
        <v>Sunburn Goa</v>
      </c>
      <c r="B74">
        <f>Festival_Data_Clean!G74</f>
        <v>3235.4</v>
      </c>
      <c r="C74">
        <f>Festival_Data_Clean!J74</f>
        <v>4947667</v>
      </c>
      <c r="D74" t="str">
        <f t="shared" si="1"/>
        <v>₹3,001-4,500</v>
      </c>
    </row>
    <row r="75" spans="1:4">
      <c r="A75" t="str">
        <f>Festival_Data_Clean!A75</f>
        <v>NH7 Pune</v>
      </c>
      <c r="B75">
        <f>Festival_Data_Clean!G75</f>
        <v>2224.6</v>
      </c>
      <c r="C75">
        <f>Festival_Data_Clean!J75</f>
        <v>4471729</v>
      </c>
      <c r="D75" t="str">
        <f t="shared" si="1"/>
        <v>₹1,501-3,000</v>
      </c>
    </row>
    <row r="76" spans="1:4">
      <c r="A76" t="str">
        <f>Festival_Data_Clean!A76</f>
        <v>Supersonic Bengaluru</v>
      </c>
      <c r="B76">
        <f>Festival_Data_Clean!G76</f>
        <v>2679.6</v>
      </c>
      <c r="C76">
        <f>Festival_Data_Clean!J76</f>
        <v>1953924</v>
      </c>
      <c r="D76" t="str">
        <f t="shared" si="1"/>
        <v>₹1,501-3,000</v>
      </c>
    </row>
    <row r="77" spans="1:4">
      <c r="A77" t="str">
        <f>Festival_Data_Clean!A77</f>
        <v>Magnetic Fields Rajasthan</v>
      </c>
      <c r="B77">
        <f>Festival_Data_Clean!G77</f>
        <v>2567</v>
      </c>
      <c r="C77">
        <f>Festival_Data_Clean!J77</f>
        <v>1698282</v>
      </c>
      <c r="D77" t="str">
        <f t="shared" si="1"/>
        <v>₹1,501-3,000</v>
      </c>
    </row>
    <row r="78" spans="1:4">
      <c r="A78" t="str">
        <f>Festival_Data_Clean!A78</f>
        <v>Hornbill Festival Nagaland</v>
      </c>
      <c r="B78">
        <f>Festival_Data_Clean!G78</f>
        <v>6972</v>
      </c>
      <c r="C78">
        <f>Festival_Data_Clean!J78</f>
        <v>2510128</v>
      </c>
      <c r="D78" t="str">
        <f t="shared" si="1"/>
        <v>₹4,500+</v>
      </c>
    </row>
    <row r="79" spans="1:4">
      <c r="A79" t="str">
        <f>Festival_Data_Clean!A79</f>
        <v>Hornbill Festival Nagaland</v>
      </c>
      <c r="B79">
        <f>Festival_Data_Clean!G79</f>
        <v>3668</v>
      </c>
      <c r="C79">
        <f>Festival_Data_Clean!J79</f>
        <v>3584230</v>
      </c>
      <c r="D79" t="str">
        <f t="shared" si="1"/>
        <v>₹3,001-4,500</v>
      </c>
    </row>
    <row r="80" spans="1:4">
      <c r="A80" t="str">
        <f>Festival_Data_Clean!A80</f>
        <v>Sunburn Goa</v>
      </c>
      <c r="B80">
        <f>Festival_Data_Clean!G80</f>
        <v>4765.6000000000004</v>
      </c>
      <c r="C80">
        <f>Festival_Data_Clean!J80</f>
        <v>2380633</v>
      </c>
      <c r="D80" t="str">
        <f t="shared" si="1"/>
        <v>₹4,500+</v>
      </c>
    </row>
    <row r="81" spans="1:4">
      <c r="A81" t="str">
        <f>Festival_Data_Clean!A81</f>
        <v>Supersonic Bengaluru</v>
      </c>
      <c r="B81">
        <f>Festival_Data_Clean!G81</f>
        <v>3243</v>
      </c>
      <c r="C81">
        <f>Festival_Data_Clean!J81</f>
        <v>4259028</v>
      </c>
      <c r="D81" t="str">
        <f t="shared" si="1"/>
        <v>₹3,001-4,500</v>
      </c>
    </row>
    <row r="82" spans="1:4">
      <c r="A82" t="str">
        <f>Festival_Data_Clean!A82</f>
        <v>Supersonic Bengaluru</v>
      </c>
      <c r="B82">
        <f>Festival_Data_Clean!G82</f>
        <v>1599</v>
      </c>
      <c r="C82">
        <f>Festival_Data_Clean!J82</f>
        <v>3330904</v>
      </c>
      <c r="D82" t="str">
        <f t="shared" si="1"/>
        <v>₹1,501-3,000</v>
      </c>
    </row>
    <row r="83" spans="1:4">
      <c r="A83" t="str">
        <f>Festival_Data_Clean!A83</f>
        <v>Supersonic Bengaluru</v>
      </c>
      <c r="B83">
        <f>Festival_Data_Clean!G83</f>
        <v>1180</v>
      </c>
      <c r="C83">
        <f>Festival_Data_Clean!J83</f>
        <v>2375872</v>
      </c>
      <c r="D83" t="str">
        <f t="shared" si="1"/>
        <v>₹0-1,500</v>
      </c>
    </row>
    <row r="84" spans="1:4">
      <c r="A84" t="str">
        <f>Festival_Data_Clean!A84</f>
        <v>Lollapalooza Mumbai</v>
      </c>
      <c r="B84">
        <f>Festival_Data_Clean!G84</f>
        <v>3928</v>
      </c>
      <c r="C84">
        <f>Festival_Data_Clean!J84</f>
        <v>962979</v>
      </c>
      <c r="D84" t="str">
        <f t="shared" si="1"/>
        <v>₹3,001-4,500</v>
      </c>
    </row>
    <row r="85" spans="1:4">
      <c r="A85" t="str">
        <f>Festival_Data_Clean!A85</f>
        <v>Lollapalooza Mumbai</v>
      </c>
      <c r="B85">
        <f>Festival_Data_Clean!G85</f>
        <v>929</v>
      </c>
      <c r="C85">
        <f>Festival_Data_Clean!J85</f>
        <v>3432767</v>
      </c>
      <c r="D85" t="str">
        <f t="shared" si="1"/>
        <v>₹0-1,500</v>
      </c>
    </row>
    <row r="86" spans="1:4">
      <c r="A86" t="str">
        <f>Festival_Data_Clean!A86</f>
        <v>Lollapalooza Mumbai</v>
      </c>
      <c r="B86">
        <f>Festival_Data_Clean!G86</f>
        <v>1824</v>
      </c>
      <c r="C86">
        <f>Festival_Data_Clean!J86</f>
        <v>4584685</v>
      </c>
      <c r="D86" t="str">
        <f t="shared" si="1"/>
        <v>₹1,501-3,000</v>
      </c>
    </row>
    <row r="87" spans="1:4">
      <c r="A87" t="str">
        <f>Festival_Data_Clean!A87</f>
        <v>Ziro Festival Arunachal</v>
      </c>
      <c r="B87">
        <f>Festival_Data_Clean!G87</f>
        <v>3034</v>
      </c>
      <c r="C87">
        <f>Festival_Data_Clean!J87</f>
        <v>659581</v>
      </c>
      <c r="D87" t="str">
        <f t="shared" si="1"/>
        <v>₹3,001-4,500</v>
      </c>
    </row>
    <row r="88" spans="1:4">
      <c r="A88" t="str">
        <f>Festival_Data_Clean!A88</f>
        <v>Sunburn Goa</v>
      </c>
      <c r="B88">
        <f>Festival_Data_Clean!G88</f>
        <v>798</v>
      </c>
      <c r="C88">
        <f>Festival_Data_Clean!J88</f>
        <v>1012227</v>
      </c>
      <c r="D88" t="str">
        <f t="shared" si="1"/>
        <v>₹0-1,500</v>
      </c>
    </row>
    <row r="89" spans="1:4">
      <c r="A89" t="str">
        <f>Festival_Data_Clean!A89</f>
        <v>VH1 Supersonic Delhi</v>
      </c>
      <c r="B89">
        <f>Festival_Data_Clean!G89</f>
        <v>2753</v>
      </c>
      <c r="C89">
        <f>Festival_Data_Clean!J89</f>
        <v>3105094</v>
      </c>
      <c r="D89" t="str">
        <f t="shared" si="1"/>
        <v>₹1,501-3,000</v>
      </c>
    </row>
    <row r="90" spans="1:4">
      <c r="A90" t="str">
        <f>Festival_Data_Clean!A90</f>
        <v>Magnetic Fields Rajasthan</v>
      </c>
      <c r="B90">
        <f>Festival_Data_Clean!G90</f>
        <v>2609</v>
      </c>
      <c r="C90">
        <f>Festival_Data_Clean!J90</f>
        <v>3310368</v>
      </c>
      <c r="D90" t="str">
        <f t="shared" si="1"/>
        <v>₹1,501-3,000</v>
      </c>
    </row>
    <row r="91" spans="1:4">
      <c r="A91" t="str">
        <f>Festival_Data_Clean!A91</f>
        <v>Bollywood Music Project</v>
      </c>
      <c r="B91">
        <f>Festival_Data_Clean!G91</f>
        <v>4418</v>
      </c>
      <c r="C91">
        <f>Festival_Data_Clean!J91</f>
        <v>615109</v>
      </c>
      <c r="D91" t="str">
        <f t="shared" si="1"/>
        <v>₹3,001-4,500</v>
      </c>
    </row>
    <row r="92" spans="1:4">
      <c r="A92" t="str">
        <f>Festival_Data_Clean!A92</f>
        <v>VH1 Supersonic Delhi</v>
      </c>
      <c r="B92">
        <f>Festival_Data_Clean!G92</f>
        <v>4849</v>
      </c>
      <c r="C92">
        <f>Festival_Data_Clean!J92</f>
        <v>4255125</v>
      </c>
      <c r="D92" t="str">
        <f t="shared" si="1"/>
        <v>₹4,500+</v>
      </c>
    </row>
    <row r="93" spans="1:4">
      <c r="A93" t="str">
        <f>Festival_Data_Clean!A93</f>
        <v>Supersonic Bengaluru</v>
      </c>
      <c r="B93">
        <f>Festival_Data_Clean!G93</f>
        <v>1750</v>
      </c>
      <c r="C93">
        <f>Festival_Data_Clean!J93</f>
        <v>3268157</v>
      </c>
      <c r="D93" t="str">
        <f t="shared" si="1"/>
        <v>₹1,501-3,000</v>
      </c>
    </row>
    <row r="94" spans="1:4">
      <c r="A94" t="str">
        <f>Festival_Data_Clean!A94</f>
        <v>Sunburn Goa</v>
      </c>
      <c r="B94">
        <f>Festival_Data_Clean!G94</f>
        <v>4279.8</v>
      </c>
      <c r="C94">
        <f>Festival_Data_Clean!J94</f>
        <v>1719569</v>
      </c>
      <c r="D94" t="str">
        <f t="shared" si="1"/>
        <v>₹3,001-4,500</v>
      </c>
    </row>
    <row r="95" spans="1:4">
      <c r="A95" t="str">
        <f>Festival_Data_Clean!A95</f>
        <v>Bollywood Music Project</v>
      </c>
      <c r="B95">
        <f>Festival_Data_Clean!G95</f>
        <v>3586</v>
      </c>
      <c r="C95">
        <f>Festival_Data_Clean!J95</f>
        <v>887815</v>
      </c>
      <c r="D95" t="str">
        <f t="shared" si="1"/>
        <v>₹3,001-4,500</v>
      </c>
    </row>
    <row r="96" spans="1:4">
      <c r="A96" t="str">
        <f>Festival_Data_Clean!A96</f>
        <v>Supersonic Bengaluru</v>
      </c>
      <c r="B96">
        <f>Festival_Data_Clean!G96</f>
        <v>3782</v>
      </c>
      <c r="C96">
        <f>Festival_Data_Clean!J96</f>
        <v>6333350</v>
      </c>
      <c r="D96" t="str">
        <f t="shared" si="1"/>
        <v>₹3,001-4,500</v>
      </c>
    </row>
    <row r="97" spans="1:4">
      <c r="A97" t="str">
        <f>Festival_Data_Clean!A97</f>
        <v>Bollywood Music Project</v>
      </c>
      <c r="B97">
        <f>Festival_Data_Clean!G97</f>
        <v>4834.2</v>
      </c>
      <c r="C97">
        <f>Festival_Data_Clean!J97</f>
        <v>1549672</v>
      </c>
      <c r="D97" t="str">
        <f t="shared" si="1"/>
        <v>₹4,500+</v>
      </c>
    </row>
    <row r="98" spans="1:4">
      <c r="A98" t="str">
        <f>Festival_Data_Clean!A98</f>
        <v>Bollywood Music Project</v>
      </c>
      <c r="B98">
        <f>Festival_Data_Clean!G98</f>
        <v>4286</v>
      </c>
      <c r="C98">
        <f>Festival_Data_Clean!J98</f>
        <v>896661</v>
      </c>
      <c r="D98" t="str">
        <f t="shared" si="1"/>
        <v>₹3,001-4,500</v>
      </c>
    </row>
    <row r="99" spans="1:4">
      <c r="A99" t="str">
        <f>Festival_Data_Clean!A99</f>
        <v>Hornbill Festival Nagaland</v>
      </c>
      <c r="B99">
        <f>Festival_Data_Clean!G99</f>
        <v>6972</v>
      </c>
      <c r="C99">
        <f>Festival_Data_Clean!J99</f>
        <v>4292613</v>
      </c>
      <c r="D99" t="str">
        <f t="shared" si="1"/>
        <v>₹4,500+</v>
      </c>
    </row>
    <row r="100" spans="1:4">
      <c r="A100" t="str">
        <f>Festival_Data_Clean!A100</f>
        <v>Hornbill Festival Nagaland</v>
      </c>
      <c r="B100">
        <f>Festival_Data_Clean!G100</f>
        <v>4529</v>
      </c>
      <c r="C100">
        <f>Festival_Data_Clean!J100</f>
        <v>2385440</v>
      </c>
      <c r="D100" t="str">
        <f t="shared" si="1"/>
        <v>₹4,500+</v>
      </c>
    </row>
    <row r="101" spans="1:4">
      <c r="A101" t="str">
        <f>Festival_Data_Clean!A101</f>
        <v>Ziro Festival Arunachal</v>
      </c>
      <c r="B101">
        <f>Festival_Data_Clean!G101</f>
        <v>726</v>
      </c>
      <c r="C101">
        <f>Festival_Data_Clean!J101</f>
        <v>835232</v>
      </c>
      <c r="D101" t="str">
        <f t="shared" si="1"/>
        <v>₹0-1,500</v>
      </c>
    </row>
  </sheetData>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47F46-A867-4E6C-851D-7A716645AD95}">
  <dimension ref="A1:G101"/>
  <sheetViews>
    <sheetView zoomScale="78" workbookViewId="0">
      <selection activeCell="M34" sqref="M34"/>
    </sheetView>
  </sheetViews>
  <sheetFormatPr defaultRowHeight="14.4"/>
  <cols>
    <col min="1" max="1" width="22.33203125" bestFit="1" customWidth="1"/>
    <col min="2" max="2" width="19.88671875" bestFit="1" customWidth="1"/>
    <col min="3" max="3" width="13.109375" bestFit="1" customWidth="1"/>
    <col min="4" max="4" width="25.21875" style="15" bestFit="1" customWidth="1"/>
    <col min="6" max="6" width="22.33203125" bestFit="1" customWidth="1"/>
    <col min="7" max="7" width="25.21875" bestFit="1" customWidth="1"/>
  </cols>
  <sheetData>
    <row r="1" spans="1:7">
      <c r="A1" s="11" t="s">
        <v>189</v>
      </c>
      <c r="B1" s="11" t="s">
        <v>206</v>
      </c>
      <c r="C1" s="11" t="s">
        <v>192</v>
      </c>
      <c r="D1" s="14" t="s">
        <v>226</v>
      </c>
      <c r="F1" s="11" t="s">
        <v>189</v>
      </c>
      <c r="G1" s="11" t="s">
        <v>226</v>
      </c>
    </row>
    <row r="2" spans="1:7">
      <c r="A2" t="str">
        <f>Festival_Data_Clean!A2</f>
        <v>NH7 Pune</v>
      </c>
      <c r="B2">
        <f>Festival_Data_Clean!I2</f>
        <v>1942290</v>
      </c>
      <c r="C2">
        <f>Festival_Data_Clean!K2</f>
        <v>13348696</v>
      </c>
      <c r="D2" s="10">
        <f>B2/C2</f>
        <v>0.14550410017577747</v>
      </c>
      <c r="F2" t="s">
        <v>70</v>
      </c>
      <c r="G2" s="16">
        <v>0.38308277064507695</v>
      </c>
    </row>
    <row r="3" spans="1:7">
      <c r="A3" t="str">
        <f>Festival_Data_Clean!A3</f>
        <v>Ziro Festival Arunachal</v>
      </c>
      <c r="B3">
        <f>Festival_Data_Clean!I3</f>
        <v>16622987</v>
      </c>
      <c r="C3">
        <f>Festival_Data_Clean!K3</f>
        <v>87858495</v>
      </c>
      <c r="D3" s="10">
        <f t="shared" ref="D3:D66" si="0">B3/C3</f>
        <v>0.18920181821917165</v>
      </c>
      <c r="F3" t="s">
        <v>53</v>
      </c>
      <c r="G3" s="16">
        <v>0.34370589855217876</v>
      </c>
    </row>
    <row r="4" spans="1:7">
      <c r="A4" t="str">
        <f>Festival_Data_Clean!A4</f>
        <v>NH7 Pune</v>
      </c>
      <c r="B4">
        <f>Festival_Data_Clean!I4</f>
        <v>7667100</v>
      </c>
      <c r="C4">
        <f>Festival_Data_Clean!K4</f>
        <v>132693072</v>
      </c>
      <c r="D4" s="10">
        <f t="shared" si="0"/>
        <v>5.778071066136746E-2</v>
      </c>
      <c r="F4" t="s">
        <v>49</v>
      </c>
      <c r="G4" s="16">
        <v>0.30276247109983273</v>
      </c>
    </row>
    <row r="5" spans="1:7">
      <c r="A5" t="str">
        <f>Festival_Data_Clean!A5</f>
        <v>VH1 Supersonic Delhi</v>
      </c>
      <c r="B5">
        <f>Festival_Data_Clean!I5</f>
        <v>2350080</v>
      </c>
      <c r="C5">
        <f>Festival_Data_Clean!K5</f>
        <v>36553838</v>
      </c>
      <c r="D5" s="10">
        <f t="shared" si="0"/>
        <v>6.4290923431897906E-2</v>
      </c>
      <c r="F5" t="s">
        <v>81</v>
      </c>
      <c r="G5" s="16">
        <v>0.30083932309033667</v>
      </c>
    </row>
    <row r="6" spans="1:7">
      <c r="A6" t="str">
        <f>Festival_Data_Clean!A6</f>
        <v>Hornbill Festival Nagaland</v>
      </c>
      <c r="B6">
        <f>Festival_Data_Clean!I6</f>
        <v>6132456</v>
      </c>
      <c r="C6">
        <f>Festival_Data_Clean!K6</f>
        <v>73783833</v>
      </c>
      <c r="D6" s="10">
        <f t="shared" si="0"/>
        <v>8.3113817087816511E-2</v>
      </c>
      <c r="F6" t="s">
        <v>75</v>
      </c>
      <c r="G6" s="16">
        <v>0.29917767679470164</v>
      </c>
    </row>
    <row r="7" spans="1:7">
      <c r="A7" t="str">
        <f>Festival_Data_Clean!A7</f>
        <v>Ziro Festival Arunachal</v>
      </c>
      <c r="B7">
        <f>Festival_Data_Clean!I7</f>
        <v>2252122</v>
      </c>
      <c r="C7">
        <f>Festival_Data_Clean!K7</f>
        <v>58605653</v>
      </c>
      <c r="D7" s="10">
        <f t="shared" si="0"/>
        <v>3.8428408945464697E-2</v>
      </c>
      <c r="F7" t="s">
        <v>49</v>
      </c>
      <c r="G7" s="16">
        <v>0.293588383301784</v>
      </c>
    </row>
    <row r="8" spans="1:7">
      <c r="A8" t="str">
        <f>Festival_Data_Clean!A8</f>
        <v>Ziro Festival Arunachal</v>
      </c>
      <c r="B8">
        <f>Festival_Data_Clean!I8</f>
        <v>4828680</v>
      </c>
      <c r="C8">
        <f>Festival_Data_Clean!K8</f>
        <v>111635078</v>
      </c>
      <c r="D8" s="10">
        <f t="shared" si="0"/>
        <v>4.325414633561684E-2</v>
      </c>
      <c r="F8" t="s">
        <v>70</v>
      </c>
      <c r="G8" s="16">
        <v>0.26722547342962272</v>
      </c>
    </row>
    <row r="9" spans="1:7">
      <c r="A9" t="str">
        <f>Festival_Data_Clean!A9</f>
        <v>NH7 Pune</v>
      </c>
      <c r="B9">
        <f>Festival_Data_Clean!I9</f>
        <v>12206740</v>
      </c>
      <c r="C9">
        <f>Festival_Data_Clean!K9</f>
        <v>41577735</v>
      </c>
      <c r="D9" s="10">
        <f t="shared" si="0"/>
        <v>0.293588383301784</v>
      </c>
      <c r="F9" t="s">
        <v>81</v>
      </c>
      <c r="G9" s="16">
        <v>0.25208279005545625</v>
      </c>
    </row>
    <row r="10" spans="1:7">
      <c r="A10" t="str">
        <f>Festival_Data_Clean!A10</f>
        <v>Bollywood Music Project</v>
      </c>
      <c r="B10">
        <f>Festival_Data_Clean!I10</f>
        <v>4279770</v>
      </c>
      <c r="C10">
        <f>Festival_Data_Clean!K10</f>
        <v>81824709</v>
      </c>
      <c r="D10" s="10">
        <f t="shared" si="0"/>
        <v>5.2304127351067022E-2</v>
      </c>
      <c r="F10" t="s">
        <v>75</v>
      </c>
      <c r="G10" s="16">
        <v>0.23965891115157134</v>
      </c>
    </row>
    <row r="11" spans="1:7">
      <c r="A11" t="str">
        <f>Festival_Data_Clean!A11</f>
        <v>Lollapalooza Mumbai</v>
      </c>
      <c r="B11">
        <f>Festival_Data_Clean!I11</f>
        <v>7539318</v>
      </c>
      <c r="C11">
        <f>Festival_Data_Clean!K11</f>
        <v>39768298</v>
      </c>
      <c r="D11" s="10">
        <f t="shared" si="0"/>
        <v>0.18958110804742009</v>
      </c>
      <c r="F11" t="s">
        <v>96</v>
      </c>
      <c r="G11" s="16">
        <v>0.20901492650963685</v>
      </c>
    </row>
    <row r="12" spans="1:7">
      <c r="A12" t="str">
        <f>Festival_Data_Clean!A12</f>
        <v>Hornbill Festival Nagaland</v>
      </c>
      <c r="B12">
        <f>Festival_Data_Clean!I12</f>
        <v>9306297</v>
      </c>
      <c r="C12">
        <f>Festival_Data_Clean!K12</f>
        <v>75365349</v>
      </c>
      <c r="D12" s="10">
        <f t="shared" si="0"/>
        <v>0.12348243753239967</v>
      </c>
      <c r="F12" t="s">
        <v>59</v>
      </c>
      <c r="G12" s="16">
        <v>0.20899816996989365</v>
      </c>
    </row>
    <row r="13" spans="1:7">
      <c r="A13" t="str">
        <f>Festival_Data_Clean!A13</f>
        <v>Sunburn Goa</v>
      </c>
      <c r="B13">
        <f>Festival_Data_Clean!I13</f>
        <v>5020389</v>
      </c>
      <c r="C13">
        <f>Festival_Data_Clean!K13</f>
        <v>76139976</v>
      </c>
      <c r="D13" s="10">
        <f t="shared" si="0"/>
        <v>6.5936309199782259E-2</v>
      </c>
      <c r="F13" t="s">
        <v>70</v>
      </c>
      <c r="G13" s="16">
        <v>0.20758349229267545</v>
      </c>
    </row>
    <row r="14" spans="1:7">
      <c r="A14" t="str">
        <f>Festival_Data_Clean!A14</f>
        <v>Supersonic Bengaluru</v>
      </c>
      <c r="B14">
        <f>Festival_Data_Clean!I14</f>
        <v>2659280</v>
      </c>
      <c r="C14">
        <f>Festival_Data_Clean!K14</f>
        <v>19328026</v>
      </c>
      <c r="D14" s="10">
        <f t="shared" si="0"/>
        <v>0.13758673544830705</v>
      </c>
      <c r="F14" t="s">
        <v>77</v>
      </c>
      <c r="G14" s="16">
        <v>0.19654356053569066</v>
      </c>
    </row>
    <row r="15" spans="1:7">
      <c r="A15" t="str">
        <f>Festival_Data_Clean!A15</f>
        <v>Magnetic Fields Rajasthan</v>
      </c>
      <c r="B15">
        <f>Festival_Data_Clean!I15</f>
        <v>2821114</v>
      </c>
      <c r="C15">
        <f>Festival_Data_Clean!K15</f>
        <v>36373655</v>
      </c>
      <c r="D15" s="10">
        <f t="shared" si="0"/>
        <v>7.7559266452601472E-2</v>
      </c>
      <c r="F15" t="s">
        <v>72</v>
      </c>
      <c r="G15" s="16">
        <v>0.18958110804742009</v>
      </c>
    </row>
    <row r="16" spans="1:7">
      <c r="A16" t="str">
        <f>Festival_Data_Clean!A16</f>
        <v>Hornbill Festival Nagaland</v>
      </c>
      <c r="B16">
        <f>Festival_Data_Clean!I16</f>
        <v>9559792</v>
      </c>
      <c r="C16">
        <f>Festival_Data_Clean!K16</f>
        <v>59239606</v>
      </c>
      <c r="D16" s="10">
        <f t="shared" si="0"/>
        <v>0.16137500982028813</v>
      </c>
      <c r="F16" t="s">
        <v>53</v>
      </c>
      <c r="G16" s="16">
        <v>0.18920181821917165</v>
      </c>
    </row>
    <row r="17" spans="1:7">
      <c r="A17" t="str">
        <f>Festival_Data_Clean!A17</f>
        <v>VH1 Supersonic Delhi</v>
      </c>
      <c r="B17">
        <f>Festival_Data_Clean!I17</f>
        <v>5892852</v>
      </c>
      <c r="C17">
        <f>Festival_Data_Clean!K17</f>
        <v>28195711</v>
      </c>
      <c r="D17" s="10">
        <f t="shared" si="0"/>
        <v>0.20899816996989365</v>
      </c>
      <c r="F17" t="s">
        <v>53</v>
      </c>
      <c r="G17" s="16">
        <v>0.18679409209383144</v>
      </c>
    </row>
    <row r="18" spans="1:7">
      <c r="A18" t="str">
        <f>Festival_Data_Clean!A18</f>
        <v>Lollapalooza Mumbai</v>
      </c>
      <c r="B18">
        <f>Festival_Data_Clean!I18</f>
        <v>1687707</v>
      </c>
      <c r="C18">
        <f>Festival_Data_Clean!K18</f>
        <v>54311142</v>
      </c>
      <c r="D18" s="10">
        <f t="shared" si="0"/>
        <v>3.1074783881362686E-2</v>
      </c>
      <c r="F18" t="s">
        <v>49</v>
      </c>
      <c r="G18" s="16">
        <v>0.17204761865945298</v>
      </c>
    </row>
    <row r="19" spans="1:7">
      <c r="A19" t="str">
        <f>Festival_Data_Clean!A19</f>
        <v>Ziro Festival Arunachal</v>
      </c>
      <c r="B19">
        <f>Festival_Data_Clean!I19</f>
        <v>3030030</v>
      </c>
      <c r="C19">
        <f>Festival_Data_Clean!K19</f>
        <v>20153068</v>
      </c>
      <c r="D19" s="10">
        <f t="shared" si="0"/>
        <v>0.15035080514788121</v>
      </c>
      <c r="F19" t="s">
        <v>72</v>
      </c>
      <c r="G19" s="16">
        <v>0.17180572291436902</v>
      </c>
    </row>
    <row r="20" spans="1:7">
      <c r="A20" t="str">
        <f>Festival_Data_Clean!A20</f>
        <v>Ziro Festival Arunachal</v>
      </c>
      <c r="B20">
        <f>Festival_Data_Clean!I20</f>
        <v>6890835</v>
      </c>
      <c r="C20">
        <f>Festival_Data_Clean!K20</f>
        <v>156553629</v>
      </c>
      <c r="D20" s="10">
        <f t="shared" si="0"/>
        <v>4.4015811348582665E-2</v>
      </c>
      <c r="F20" t="s">
        <v>96</v>
      </c>
      <c r="G20" s="16">
        <v>0.17144680201634391</v>
      </c>
    </row>
    <row r="21" spans="1:7">
      <c r="A21" t="str">
        <f>Festival_Data_Clean!A21</f>
        <v>Sunburn Goa</v>
      </c>
      <c r="B21">
        <f>Festival_Data_Clean!I21</f>
        <v>1041495</v>
      </c>
      <c r="C21">
        <f>Festival_Data_Clean!K21</f>
        <v>14216078</v>
      </c>
      <c r="D21" s="10">
        <f t="shared" si="0"/>
        <v>7.3261767415738713E-2</v>
      </c>
      <c r="F21" t="s">
        <v>62</v>
      </c>
      <c r="G21" s="16">
        <v>0.16137500982028813</v>
      </c>
    </row>
    <row r="22" spans="1:7">
      <c r="A22" t="str">
        <f>Festival_Data_Clean!A22</f>
        <v>Sunburn Goa</v>
      </c>
      <c r="B22">
        <f>Festival_Data_Clean!I22</f>
        <v>7539568</v>
      </c>
      <c r="C22">
        <f>Festival_Data_Clean!K22</f>
        <v>124333833</v>
      </c>
      <c r="D22" s="10">
        <f t="shared" si="0"/>
        <v>6.0639713407693301E-2</v>
      </c>
      <c r="F22" t="s">
        <v>75</v>
      </c>
      <c r="G22" s="16">
        <v>0.16135179229553506</v>
      </c>
    </row>
    <row r="23" spans="1:7">
      <c r="A23" t="str">
        <f>Festival_Data_Clean!A23</f>
        <v>Sunburn Goa</v>
      </c>
      <c r="B23">
        <f>Festival_Data_Clean!I23</f>
        <v>2558182</v>
      </c>
      <c r="C23">
        <f>Festival_Data_Clean!K23</f>
        <v>25501892</v>
      </c>
      <c r="D23" s="10">
        <f t="shared" si="0"/>
        <v>0.1003134198827287</v>
      </c>
      <c r="F23" t="s">
        <v>77</v>
      </c>
      <c r="G23" s="16">
        <v>0.15869756449117153</v>
      </c>
    </row>
    <row r="24" spans="1:7">
      <c r="A24" t="str">
        <f>Festival_Data_Clean!A24</f>
        <v>NH7 Pune</v>
      </c>
      <c r="B24">
        <f>Festival_Data_Clean!I24</f>
        <v>6905220</v>
      </c>
      <c r="C24">
        <f>Festival_Data_Clean!K24</f>
        <v>47281463</v>
      </c>
      <c r="D24" s="10">
        <f t="shared" si="0"/>
        <v>0.1460449732699684</v>
      </c>
      <c r="F24" t="s">
        <v>49</v>
      </c>
      <c r="G24" s="16">
        <v>0.15568200568829765</v>
      </c>
    </row>
    <row r="25" spans="1:7">
      <c r="A25" t="str">
        <f>Festival_Data_Clean!A25</f>
        <v>Goa Tribal Festival</v>
      </c>
      <c r="B25">
        <f>Festival_Data_Clean!I25</f>
        <v>4603680</v>
      </c>
      <c r="C25">
        <f>Festival_Data_Clean!K25</f>
        <v>41090442</v>
      </c>
      <c r="D25" s="10">
        <f t="shared" si="0"/>
        <v>0.1120377337386636</v>
      </c>
      <c r="F25" t="s">
        <v>81</v>
      </c>
      <c r="G25" s="16">
        <v>0.1516965033679249</v>
      </c>
    </row>
    <row r="26" spans="1:7">
      <c r="A26" t="str">
        <f>Festival_Data_Clean!A26</f>
        <v>Magnetic Fields Rajasthan</v>
      </c>
      <c r="B26">
        <f>Festival_Data_Clean!I26</f>
        <v>9238938</v>
      </c>
      <c r="C26">
        <f>Festival_Data_Clean!K26</f>
        <v>114319692</v>
      </c>
      <c r="D26" s="10">
        <f t="shared" si="0"/>
        <v>8.0816680296864341E-2</v>
      </c>
      <c r="F26" t="s">
        <v>53</v>
      </c>
      <c r="G26" s="16">
        <v>0.15035080514788121</v>
      </c>
    </row>
    <row r="27" spans="1:7">
      <c r="A27" t="str">
        <f>Festival_Data_Clean!A27</f>
        <v>Sunburn Goa</v>
      </c>
      <c r="B27">
        <f>Festival_Data_Clean!I27</f>
        <v>5672841</v>
      </c>
      <c r="C27">
        <f>Festival_Data_Clean!K27</f>
        <v>55840288</v>
      </c>
      <c r="D27" s="10">
        <f t="shared" si="0"/>
        <v>0.10159046815804389</v>
      </c>
      <c r="F27" t="s">
        <v>75</v>
      </c>
      <c r="G27" s="16">
        <v>0.14772175414916927</v>
      </c>
    </row>
    <row r="28" spans="1:7">
      <c r="A28" t="str">
        <f>Festival_Data_Clean!A28</f>
        <v>Hornbill Festival Nagaland</v>
      </c>
      <c r="B28">
        <f>Festival_Data_Clean!I28</f>
        <v>5250528</v>
      </c>
      <c r="C28">
        <f>Festival_Data_Clean!K28</f>
        <v>141370736</v>
      </c>
      <c r="D28" s="10">
        <f t="shared" si="0"/>
        <v>3.714013344317596E-2</v>
      </c>
      <c r="F28" t="s">
        <v>62</v>
      </c>
      <c r="G28" s="16">
        <v>0.14726068114429564</v>
      </c>
    </row>
    <row r="29" spans="1:7">
      <c r="A29" t="str">
        <f>Festival_Data_Clean!A29</f>
        <v>NH7 Pune</v>
      </c>
      <c r="B29">
        <f>Festival_Data_Clean!I29</f>
        <v>13341400</v>
      </c>
      <c r="C29">
        <f>Festival_Data_Clean!K29</f>
        <v>122880810</v>
      </c>
      <c r="D29" s="10">
        <f t="shared" si="0"/>
        <v>0.10857187546208395</v>
      </c>
      <c r="F29" t="s">
        <v>49</v>
      </c>
      <c r="G29" s="16">
        <v>0.1460449732699684</v>
      </c>
    </row>
    <row r="30" spans="1:7">
      <c r="A30" t="str">
        <f>Festival_Data_Clean!A30</f>
        <v>NH7 Pune</v>
      </c>
      <c r="B30">
        <f>Festival_Data_Clean!I30</f>
        <v>1266976</v>
      </c>
      <c r="C30">
        <f>Festival_Data_Clean!K30</f>
        <v>31435366</v>
      </c>
      <c r="D30" s="10">
        <f t="shared" si="0"/>
        <v>4.0304159334426076E-2</v>
      </c>
      <c r="F30" t="s">
        <v>49</v>
      </c>
      <c r="G30" s="16">
        <v>0.14550410017577747</v>
      </c>
    </row>
    <row r="31" spans="1:7">
      <c r="A31" t="str">
        <f>Festival_Data_Clean!A31</f>
        <v>NH7 Pune</v>
      </c>
      <c r="B31">
        <f>Festival_Data_Clean!I31</f>
        <v>7830432</v>
      </c>
      <c r="C31">
        <f>Festival_Data_Clean!K31</f>
        <v>45513167</v>
      </c>
      <c r="D31" s="10">
        <f t="shared" si="0"/>
        <v>0.17204761865945298</v>
      </c>
      <c r="F31" t="s">
        <v>96</v>
      </c>
      <c r="G31" s="16">
        <v>0.14044439927127078</v>
      </c>
    </row>
    <row r="32" spans="1:7">
      <c r="A32" t="str">
        <f>Festival_Data_Clean!A32</f>
        <v>Ziro Festival Arunachal</v>
      </c>
      <c r="B32">
        <f>Festival_Data_Clean!I32</f>
        <v>6276375</v>
      </c>
      <c r="C32">
        <f>Festival_Data_Clean!K32</f>
        <v>85424449</v>
      </c>
      <c r="D32" s="10">
        <f t="shared" si="0"/>
        <v>7.3472818068747503E-2</v>
      </c>
      <c r="F32" t="s">
        <v>53</v>
      </c>
      <c r="G32" s="16">
        <v>0.13759143567487003</v>
      </c>
    </row>
    <row r="33" spans="1:7">
      <c r="A33" t="str">
        <f>Festival_Data_Clean!A33</f>
        <v>NH7 Pune</v>
      </c>
      <c r="B33">
        <f>Festival_Data_Clean!I33</f>
        <v>10379376</v>
      </c>
      <c r="C33">
        <f>Festival_Data_Clean!K33</f>
        <v>34282241</v>
      </c>
      <c r="D33" s="10">
        <f t="shared" si="0"/>
        <v>0.30276247109983273</v>
      </c>
      <c r="F33" t="s">
        <v>77</v>
      </c>
      <c r="G33" s="16">
        <v>0.13758673544830705</v>
      </c>
    </row>
    <row r="34" spans="1:7">
      <c r="A34" t="str">
        <f>Festival_Data_Clean!A34</f>
        <v>Goa Tribal Festival</v>
      </c>
      <c r="B34">
        <f>Festival_Data_Clean!I34</f>
        <v>7713178</v>
      </c>
      <c r="C34">
        <f>Festival_Data_Clean!K34</f>
        <v>44988754</v>
      </c>
      <c r="D34" s="10">
        <f t="shared" si="0"/>
        <v>0.17144680201634391</v>
      </c>
      <c r="F34" t="s">
        <v>59</v>
      </c>
      <c r="G34" s="16">
        <v>0.13742935095018305</v>
      </c>
    </row>
    <row r="35" spans="1:7">
      <c r="A35" t="str">
        <f>Festival_Data_Clean!A35</f>
        <v>Ziro Festival Arunachal</v>
      </c>
      <c r="B35">
        <f>Festival_Data_Clean!I35</f>
        <v>7336230</v>
      </c>
      <c r="C35">
        <f>Festival_Data_Clean!K35</f>
        <v>39274422</v>
      </c>
      <c r="D35" s="10">
        <f t="shared" si="0"/>
        <v>0.18679409209383144</v>
      </c>
      <c r="F35" t="s">
        <v>59</v>
      </c>
      <c r="G35" s="16">
        <v>0.13478179632561327</v>
      </c>
    </row>
    <row r="36" spans="1:7">
      <c r="A36" t="str">
        <f>Festival_Data_Clean!A36</f>
        <v>NH7 Pune</v>
      </c>
      <c r="B36">
        <f>Festival_Data_Clean!I36</f>
        <v>16296984</v>
      </c>
      <c r="C36">
        <f>Festival_Data_Clean!K36</f>
        <v>104681231</v>
      </c>
      <c r="D36" s="10">
        <f t="shared" si="0"/>
        <v>0.15568200568829765</v>
      </c>
      <c r="F36" t="s">
        <v>75</v>
      </c>
      <c r="G36" s="16">
        <v>0.13322240245505274</v>
      </c>
    </row>
    <row r="37" spans="1:7">
      <c r="A37" t="str">
        <f>Festival_Data_Clean!A37</f>
        <v>Lollapalooza Mumbai</v>
      </c>
      <c r="B37">
        <f>Festival_Data_Clean!I37</f>
        <v>1913135</v>
      </c>
      <c r="C37">
        <f>Festival_Data_Clean!K37</f>
        <v>21654174</v>
      </c>
      <c r="D37" s="10">
        <f t="shared" si="0"/>
        <v>8.8349479412144744E-2</v>
      </c>
      <c r="F37" t="s">
        <v>81</v>
      </c>
      <c r="G37" s="16">
        <v>0.12886983008950187</v>
      </c>
    </row>
    <row r="38" spans="1:7">
      <c r="A38" t="str">
        <f>Festival_Data_Clean!A38</f>
        <v>VH1 Supersonic Delhi</v>
      </c>
      <c r="B38">
        <f>Festival_Data_Clean!I38</f>
        <v>4412555</v>
      </c>
      <c r="C38">
        <f>Festival_Data_Clean!K38</f>
        <v>149833015</v>
      </c>
      <c r="D38" s="10">
        <f t="shared" si="0"/>
        <v>2.9449817852227028E-2</v>
      </c>
      <c r="F38" t="s">
        <v>77</v>
      </c>
      <c r="G38" s="16">
        <v>0.12649026550156964</v>
      </c>
    </row>
    <row r="39" spans="1:7">
      <c r="A39" t="str">
        <f>Festival_Data_Clean!A39</f>
        <v>Bollywood Music Project</v>
      </c>
      <c r="B39">
        <f>Festival_Data_Clean!I39</f>
        <v>2486848</v>
      </c>
      <c r="C39">
        <f>Festival_Data_Clean!K39</f>
        <v>38361278</v>
      </c>
      <c r="D39" s="10">
        <f t="shared" si="0"/>
        <v>6.4827037305691435E-2</v>
      </c>
      <c r="F39" t="s">
        <v>77</v>
      </c>
      <c r="G39" s="16">
        <v>0.12530073822719082</v>
      </c>
    </row>
    <row r="40" spans="1:7">
      <c r="A40" t="str">
        <f>Festival_Data_Clean!A40</f>
        <v>Sunburn Goa</v>
      </c>
      <c r="B40">
        <f>Festival_Data_Clean!I40</f>
        <v>9671652</v>
      </c>
      <c r="C40">
        <f>Festival_Data_Clean!K40</f>
        <v>59941398</v>
      </c>
      <c r="D40" s="10">
        <f t="shared" si="0"/>
        <v>0.16135179229553506</v>
      </c>
      <c r="F40" t="s">
        <v>62</v>
      </c>
      <c r="G40" s="16">
        <v>0.12348243753239967</v>
      </c>
    </row>
    <row r="41" spans="1:7">
      <c r="A41" t="str">
        <f>Festival_Data_Clean!A41</f>
        <v>Bollywood Music Project</v>
      </c>
      <c r="B41">
        <f>Festival_Data_Clean!I41</f>
        <v>12753000</v>
      </c>
      <c r="C41">
        <f>Festival_Data_Clean!K41</f>
        <v>61435521</v>
      </c>
      <c r="D41" s="10">
        <f t="shared" si="0"/>
        <v>0.20758349229267545</v>
      </c>
      <c r="F41" t="s">
        <v>49</v>
      </c>
      <c r="G41" s="16">
        <v>0.11999971353872876</v>
      </c>
    </row>
    <row r="42" spans="1:7">
      <c r="A42" t="str">
        <f>Festival_Data_Clean!A42</f>
        <v>Bollywood Music Project</v>
      </c>
      <c r="B42">
        <f>Festival_Data_Clean!I42</f>
        <v>14904000</v>
      </c>
      <c r="C42">
        <f>Festival_Data_Clean!K42</f>
        <v>55773126</v>
      </c>
      <c r="D42" s="10">
        <f t="shared" si="0"/>
        <v>0.26722547342962272</v>
      </c>
      <c r="F42" t="s">
        <v>96</v>
      </c>
      <c r="G42" s="16">
        <v>0.1120377337386636</v>
      </c>
    </row>
    <row r="43" spans="1:7">
      <c r="A43" t="str">
        <f>Festival_Data_Clean!A43</f>
        <v>Bollywood Music Project</v>
      </c>
      <c r="B43">
        <f>Festival_Data_Clean!I43</f>
        <v>11705589</v>
      </c>
      <c r="C43">
        <f>Festival_Data_Clean!K43</f>
        <v>30556292</v>
      </c>
      <c r="D43" s="10">
        <f t="shared" si="0"/>
        <v>0.38308277064507695</v>
      </c>
      <c r="F43" t="s">
        <v>49</v>
      </c>
      <c r="G43" s="16">
        <v>0.10857187546208395</v>
      </c>
    </row>
    <row r="44" spans="1:7">
      <c r="A44" t="str">
        <f>Festival_Data_Clean!A44</f>
        <v>Lollapalooza Mumbai</v>
      </c>
      <c r="B44">
        <f>Festival_Data_Clean!I44</f>
        <v>5113382</v>
      </c>
      <c r="C44">
        <f>Festival_Data_Clean!K44</f>
        <v>167002302</v>
      </c>
      <c r="D44" s="10">
        <f t="shared" si="0"/>
        <v>3.0618631831793551E-2</v>
      </c>
      <c r="F44" t="s">
        <v>75</v>
      </c>
      <c r="G44" s="16">
        <v>0.10735093018467354</v>
      </c>
    </row>
    <row r="45" spans="1:7">
      <c r="A45" t="str">
        <f>Festival_Data_Clean!A45</f>
        <v>Lollapalooza Mumbai</v>
      </c>
      <c r="B45">
        <f>Festival_Data_Clean!I45</f>
        <v>7401744</v>
      </c>
      <c r="C45">
        <f>Festival_Data_Clean!K45</f>
        <v>86985677</v>
      </c>
      <c r="D45" s="10">
        <f t="shared" si="0"/>
        <v>8.5091526045144195E-2</v>
      </c>
      <c r="F45" t="s">
        <v>59</v>
      </c>
      <c r="G45" s="16">
        <v>0.10295471958409622</v>
      </c>
    </row>
    <row r="46" spans="1:7">
      <c r="A46" t="str">
        <f>Festival_Data_Clean!A46</f>
        <v>Hornbill Festival Nagaland</v>
      </c>
      <c r="B46">
        <f>Festival_Data_Clean!I46</f>
        <v>15468708</v>
      </c>
      <c r="C46">
        <f>Festival_Data_Clean!K46</f>
        <v>105043029</v>
      </c>
      <c r="D46" s="10">
        <f t="shared" si="0"/>
        <v>0.14726068114429564</v>
      </c>
      <c r="F46" t="s">
        <v>75</v>
      </c>
      <c r="G46" s="16">
        <v>0.10159046815804389</v>
      </c>
    </row>
    <row r="47" spans="1:7">
      <c r="A47" t="str">
        <f>Festival_Data_Clean!A47</f>
        <v>Ziro Festival Arunachal</v>
      </c>
      <c r="B47">
        <f>Festival_Data_Clean!I47</f>
        <v>3292404</v>
      </c>
      <c r="C47">
        <f>Festival_Data_Clean!K47</f>
        <v>23928844</v>
      </c>
      <c r="D47" s="10">
        <f t="shared" si="0"/>
        <v>0.13759143567487003</v>
      </c>
      <c r="F47" t="s">
        <v>75</v>
      </c>
      <c r="G47" s="16">
        <v>0.1003134198827287</v>
      </c>
    </row>
    <row r="48" spans="1:7">
      <c r="A48" t="str">
        <f>Festival_Data_Clean!A48</f>
        <v>Sunburn Goa</v>
      </c>
      <c r="B48">
        <f>Festival_Data_Clean!I48</f>
        <v>5366088</v>
      </c>
      <c r="C48">
        <f>Festival_Data_Clean!K48</f>
        <v>36325645</v>
      </c>
      <c r="D48" s="10">
        <f t="shared" si="0"/>
        <v>0.14772175414916927</v>
      </c>
      <c r="F48" t="s">
        <v>96</v>
      </c>
      <c r="G48" s="16">
        <v>9.6063373889872364E-2</v>
      </c>
    </row>
    <row r="49" spans="1:7">
      <c r="A49" t="str">
        <f>Festival_Data_Clean!A49</f>
        <v>Ziro Festival Arunachal</v>
      </c>
      <c r="B49">
        <f>Festival_Data_Clean!I49</f>
        <v>1361878</v>
      </c>
      <c r="C49">
        <f>Festival_Data_Clean!K49</f>
        <v>38620299</v>
      </c>
      <c r="D49" s="10">
        <f t="shared" si="0"/>
        <v>3.526326919426491E-2</v>
      </c>
      <c r="F49" t="s">
        <v>72</v>
      </c>
      <c r="G49" s="16">
        <v>9.5780383974996178E-2</v>
      </c>
    </row>
    <row r="50" spans="1:7">
      <c r="A50" t="str">
        <f>Festival_Data_Clean!A50</f>
        <v>Supersonic Bengaluru</v>
      </c>
      <c r="B50">
        <f>Festival_Data_Clean!I50</f>
        <v>2094000</v>
      </c>
      <c r="C50">
        <f>Festival_Data_Clean!K50</f>
        <v>16711793</v>
      </c>
      <c r="D50" s="10">
        <f t="shared" si="0"/>
        <v>0.12530073822719082</v>
      </c>
      <c r="F50" t="s">
        <v>70</v>
      </c>
      <c r="G50" s="16">
        <v>9.5262345594475453E-2</v>
      </c>
    </row>
    <row r="51" spans="1:7">
      <c r="A51" t="str">
        <f>Festival_Data_Clean!A51</f>
        <v>Supersonic Bengaluru</v>
      </c>
      <c r="B51">
        <f>Festival_Data_Clean!I51</f>
        <v>4356244</v>
      </c>
      <c r="C51">
        <f>Festival_Data_Clean!K51</f>
        <v>108614880</v>
      </c>
      <c r="D51" s="10">
        <f t="shared" si="0"/>
        <v>4.0107248656905944E-2</v>
      </c>
      <c r="F51" t="s">
        <v>75</v>
      </c>
      <c r="G51" s="16">
        <v>9.1196901030878505E-2</v>
      </c>
    </row>
    <row r="52" spans="1:7">
      <c r="A52" t="str">
        <f>Festival_Data_Clean!A52</f>
        <v>VH1 Supersonic Delhi</v>
      </c>
      <c r="B52">
        <f>Festival_Data_Clean!I52</f>
        <v>5580090</v>
      </c>
      <c r="C52">
        <f>Festival_Data_Clean!K52</f>
        <v>54199458</v>
      </c>
      <c r="D52" s="10">
        <f t="shared" si="0"/>
        <v>0.10295471958409622</v>
      </c>
      <c r="F52" t="s">
        <v>72</v>
      </c>
      <c r="G52" s="16">
        <v>8.8349479412144744E-2</v>
      </c>
    </row>
    <row r="53" spans="1:7">
      <c r="A53" t="str">
        <f>Festival_Data_Clean!A53</f>
        <v>VH1 Supersonic Delhi</v>
      </c>
      <c r="B53">
        <f>Festival_Data_Clean!I53</f>
        <v>4800675</v>
      </c>
      <c r="C53">
        <f>Festival_Data_Clean!K53</f>
        <v>68617287</v>
      </c>
      <c r="D53" s="10">
        <f t="shared" si="0"/>
        <v>6.996305464539862E-2</v>
      </c>
      <c r="F53" t="s">
        <v>49</v>
      </c>
      <c r="G53" s="16">
        <v>8.8303869664125595E-2</v>
      </c>
    </row>
    <row r="54" spans="1:7">
      <c r="A54" t="str">
        <f>Festival_Data_Clean!A54</f>
        <v>Supersonic Bengaluru</v>
      </c>
      <c r="B54">
        <f>Festival_Data_Clean!I54</f>
        <v>8068864</v>
      </c>
      <c r="C54">
        <f>Festival_Data_Clean!K54</f>
        <v>63790395</v>
      </c>
      <c r="D54" s="10">
        <f t="shared" si="0"/>
        <v>0.12649026550156964</v>
      </c>
      <c r="F54" t="s">
        <v>53</v>
      </c>
      <c r="G54" s="16">
        <v>8.7109024295171561E-2</v>
      </c>
    </row>
    <row r="55" spans="1:7">
      <c r="A55" t="str">
        <f>Festival_Data_Clean!A55</f>
        <v>VH1 Supersonic Delhi</v>
      </c>
      <c r="B55">
        <f>Festival_Data_Clean!I55</f>
        <v>5054560</v>
      </c>
      <c r="C55">
        <f>Festival_Data_Clean!K55</f>
        <v>36779334</v>
      </c>
      <c r="D55" s="10">
        <f t="shared" si="0"/>
        <v>0.13742935095018305</v>
      </c>
      <c r="F55" t="s">
        <v>62</v>
      </c>
      <c r="G55" s="16">
        <v>8.5554225586974855E-2</v>
      </c>
    </row>
    <row r="56" spans="1:7">
      <c r="A56" t="str">
        <f>Festival_Data_Clean!A56</f>
        <v>Ziro Festival Arunachal</v>
      </c>
      <c r="B56">
        <f>Festival_Data_Clean!I56</f>
        <v>12868716</v>
      </c>
      <c r="C56">
        <f>Festival_Data_Clean!K56</f>
        <v>339617008</v>
      </c>
      <c r="D56" s="10">
        <f t="shared" si="0"/>
        <v>3.789184786646492E-2</v>
      </c>
      <c r="F56" t="s">
        <v>72</v>
      </c>
      <c r="G56" s="16">
        <v>8.5091526045144195E-2</v>
      </c>
    </row>
    <row r="57" spans="1:7">
      <c r="A57" t="str">
        <f>Festival_Data_Clean!A57</f>
        <v>Magnetic Fields Rajasthan</v>
      </c>
      <c r="B57">
        <f>Festival_Data_Clean!I57</f>
        <v>10463277</v>
      </c>
      <c r="C57">
        <f>Festival_Data_Clean!K57</f>
        <v>41507304</v>
      </c>
      <c r="D57" s="10">
        <f t="shared" si="0"/>
        <v>0.25208279005545625</v>
      </c>
      <c r="F57" t="s">
        <v>70</v>
      </c>
      <c r="G57" s="16">
        <v>8.4182230489745782E-2</v>
      </c>
    </row>
    <row r="58" spans="1:7">
      <c r="A58" t="str">
        <f>Festival_Data_Clean!A58</f>
        <v>Sunburn Goa</v>
      </c>
      <c r="B58">
        <f>Festival_Data_Clean!I58</f>
        <v>4873518</v>
      </c>
      <c r="C58">
        <f>Festival_Data_Clean!K58</f>
        <v>93103121</v>
      </c>
      <c r="D58" s="10">
        <f t="shared" si="0"/>
        <v>5.2345377337028258E-2</v>
      </c>
      <c r="F58" t="s">
        <v>59</v>
      </c>
      <c r="G58" s="16">
        <v>8.342931394231666E-2</v>
      </c>
    </row>
    <row r="59" spans="1:7">
      <c r="A59" t="str">
        <f>Festival_Data_Clean!A59</f>
        <v>Magnetic Fields Rajasthan</v>
      </c>
      <c r="B59">
        <f>Festival_Data_Clean!I59</f>
        <v>4728492</v>
      </c>
      <c r="C59">
        <f>Festival_Data_Clean!K59</f>
        <v>15717666</v>
      </c>
      <c r="D59" s="10">
        <f t="shared" si="0"/>
        <v>0.30083932309033667</v>
      </c>
      <c r="F59" t="s">
        <v>62</v>
      </c>
      <c r="G59" s="16">
        <v>8.3113817087816511E-2</v>
      </c>
    </row>
    <row r="60" spans="1:7">
      <c r="A60" t="str">
        <f>Festival_Data_Clean!A60</f>
        <v>Goa Tribal Festival</v>
      </c>
      <c r="B60">
        <f>Festival_Data_Clean!I60</f>
        <v>9592069</v>
      </c>
      <c r="C60">
        <f>Festival_Data_Clean!K60</f>
        <v>99851469</v>
      </c>
      <c r="D60" s="10">
        <f t="shared" si="0"/>
        <v>9.6063373889872364E-2</v>
      </c>
      <c r="F60" t="s">
        <v>62</v>
      </c>
      <c r="G60" s="16">
        <v>8.1320847234531715E-2</v>
      </c>
    </row>
    <row r="61" spans="1:7">
      <c r="A61" t="str">
        <f>Festival_Data_Clean!A61</f>
        <v>Ziro Festival Arunachal</v>
      </c>
      <c r="B61">
        <f>Festival_Data_Clean!I61</f>
        <v>10701900</v>
      </c>
      <c r="C61">
        <f>Festival_Data_Clean!K61</f>
        <v>122856387</v>
      </c>
      <c r="D61" s="10">
        <f t="shared" si="0"/>
        <v>8.7109024295171561E-2</v>
      </c>
      <c r="F61" t="s">
        <v>72</v>
      </c>
      <c r="G61" s="16">
        <v>8.1283134985945513E-2</v>
      </c>
    </row>
    <row r="62" spans="1:7">
      <c r="A62" t="str">
        <f>Festival_Data_Clean!A62</f>
        <v>Bollywood Music Project</v>
      </c>
      <c r="B62">
        <f>Festival_Data_Clean!I62</f>
        <v>1085744</v>
      </c>
      <c r="C62">
        <f>Festival_Data_Clean!K62</f>
        <v>19235476</v>
      </c>
      <c r="D62" s="10">
        <f t="shared" si="0"/>
        <v>5.6444873004442418E-2</v>
      </c>
      <c r="F62" t="s">
        <v>81</v>
      </c>
      <c r="G62" s="16">
        <v>8.0816680296864341E-2</v>
      </c>
    </row>
    <row r="63" spans="1:7">
      <c r="A63" t="str">
        <f>Festival_Data_Clean!A63</f>
        <v>Hornbill Festival Nagaland</v>
      </c>
      <c r="B63">
        <f>Festival_Data_Clean!I63</f>
        <v>15825404</v>
      </c>
      <c r="C63">
        <f>Festival_Data_Clean!K63</f>
        <v>184975130</v>
      </c>
      <c r="D63" s="10">
        <f t="shared" si="0"/>
        <v>8.5554225586974855E-2</v>
      </c>
      <c r="F63" t="s">
        <v>81</v>
      </c>
      <c r="G63" s="16">
        <v>7.7559266452601472E-2</v>
      </c>
    </row>
    <row r="64" spans="1:7">
      <c r="A64" t="str">
        <f>Festival_Data_Clean!A64</f>
        <v>Bollywood Music Project</v>
      </c>
      <c r="B64">
        <f>Festival_Data_Clean!I64</f>
        <v>2305065</v>
      </c>
      <c r="C64">
        <f>Festival_Data_Clean!K64</f>
        <v>191967964</v>
      </c>
      <c r="D64" s="10">
        <f t="shared" si="0"/>
        <v>1.2007550384813166E-2</v>
      </c>
      <c r="F64" t="s">
        <v>70</v>
      </c>
      <c r="G64" s="16">
        <v>7.7481367497410733E-2</v>
      </c>
    </row>
    <row r="65" spans="1:7">
      <c r="A65" t="str">
        <f>Festival_Data_Clean!A65</f>
        <v>Sunburn Goa</v>
      </c>
      <c r="B65">
        <f>Festival_Data_Clean!I65</f>
        <v>3236079</v>
      </c>
      <c r="C65">
        <f>Festival_Data_Clean!K65</f>
        <v>24290802</v>
      </c>
      <c r="D65" s="10">
        <f t="shared" si="0"/>
        <v>0.13322240245505274</v>
      </c>
      <c r="F65" t="s">
        <v>53</v>
      </c>
      <c r="G65" s="16">
        <v>7.3472818068747503E-2</v>
      </c>
    </row>
    <row r="66" spans="1:7">
      <c r="A66" t="str">
        <f>Festival_Data_Clean!A66</f>
        <v>Goa Tribal Festival</v>
      </c>
      <c r="B66">
        <f>Festival_Data_Clean!I66</f>
        <v>5489181</v>
      </c>
      <c r="C66">
        <f>Festival_Data_Clean!K66</f>
        <v>142439273</v>
      </c>
      <c r="D66" s="10">
        <f t="shared" si="0"/>
        <v>3.8536991128844081E-2</v>
      </c>
      <c r="F66" t="s">
        <v>75</v>
      </c>
      <c r="G66" s="16">
        <v>7.3261767415738713E-2</v>
      </c>
    </row>
    <row r="67" spans="1:7">
      <c r="A67" t="str">
        <f>Festival_Data_Clean!A67</f>
        <v>Magnetic Fields Rajasthan</v>
      </c>
      <c r="B67">
        <f>Festival_Data_Clean!I67</f>
        <v>1563030</v>
      </c>
      <c r="C67">
        <f>Festival_Data_Clean!K67</f>
        <v>106152468</v>
      </c>
      <c r="D67" s="10">
        <f t="shared" ref="D67:D101" si="1">B67/C67</f>
        <v>1.4724386813126192E-2</v>
      </c>
      <c r="F67" t="s">
        <v>62</v>
      </c>
      <c r="G67" s="16">
        <v>7.2586249525087299E-2</v>
      </c>
    </row>
    <row r="68" spans="1:7">
      <c r="A68" t="str">
        <f>Festival_Data_Clean!A68</f>
        <v>Sunburn Goa</v>
      </c>
      <c r="B68">
        <f>Festival_Data_Clean!I68</f>
        <v>20068208</v>
      </c>
      <c r="C68">
        <f>Festival_Data_Clean!K68</f>
        <v>83736540</v>
      </c>
      <c r="D68" s="10">
        <f t="shared" si="1"/>
        <v>0.23965891115157134</v>
      </c>
      <c r="F68" t="s">
        <v>59</v>
      </c>
      <c r="G68" s="16">
        <v>6.996305464539862E-2</v>
      </c>
    </row>
    <row r="69" spans="1:7">
      <c r="A69" t="str">
        <f>Festival_Data_Clean!A69</f>
        <v>Bollywood Music Project</v>
      </c>
      <c r="B69">
        <f>Festival_Data_Clean!I69</f>
        <v>3795320</v>
      </c>
      <c r="C69">
        <f>Festival_Data_Clean!K69</f>
        <v>45084574</v>
      </c>
      <c r="D69" s="10">
        <f t="shared" si="1"/>
        <v>8.4182230489745782E-2</v>
      </c>
      <c r="F69" t="s">
        <v>75</v>
      </c>
      <c r="G69" s="16">
        <v>6.6902897768252159E-2</v>
      </c>
    </row>
    <row r="70" spans="1:7">
      <c r="A70" t="str">
        <f>Festival_Data_Clean!A70</f>
        <v>Goa Tribal Festival</v>
      </c>
      <c r="B70">
        <f>Festival_Data_Clean!I70</f>
        <v>5336154</v>
      </c>
      <c r="C70">
        <f>Festival_Data_Clean!K70</f>
        <v>25530014</v>
      </c>
      <c r="D70" s="10">
        <f t="shared" si="1"/>
        <v>0.20901492650963685</v>
      </c>
      <c r="F70" t="s">
        <v>77</v>
      </c>
      <c r="G70" s="16">
        <v>6.646997753861987E-2</v>
      </c>
    </row>
    <row r="71" spans="1:7">
      <c r="A71" t="str">
        <f>Festival_Data_Clean!A71</f>
        <v>NH7 Pune</v>
      </c>
      <c r="B71">
        <f>Festival_Data_Clean!I71</f>
        <v>19926092</v>
      </c>
      <c r="C71">
        <f>Festival_Data_Clean!K71</f>
        <v>225653667</v>
      </c>
      <c r="D71" s="10">
        <f t="shared" si="1"/>
        <v>8.8303869664125595E-2</v>
      </c>
      <c r="F71" t="s">
        <v>75</v>
      </c>
      <c r="G71" s="16">
        <v>6.5936309199782259E-2</v>
      </c>
    </row>
    <row r="72" spans="1:7">
      <c r="A72" t="str">
        <f>Festival_Data_Clean!A72</f>
        <v>VH1 Supersonic Delhi</v>
      </c>
      <c r="B72">
        <f>Festival_Data_Clean!I72</f>
        <v>6689132</v>
      </c>
      <c r="C72">
        <f>Festival_Data_Clean!K72</f>
        <v>49629343</v>
      </c>
      <c r="D72" s="10">
        <f t="shared" si="1"/>
        <v>0.13478179632561327</v>
      </c>
      <c r="F72" t="s">
        <v>70</v>
      </c>
      <c r="G72" s="16">
        <v>6.501165857234649E-2</v>
      </c>
    </row>
    <row r="73" spans="1:7">
      <c r="A73" t="str">
        <f>Festival_Data_Clean!A73</f>
        <v>Goa Tribal Festival</v>
      </c>
      <c r="B73">
        <f>Festival_Data_Clean!I73</f>
        <v>7177005</v>
      </c>
      <c r="C73">
        <f>Festival_Data_Clean!K73</f>
        <v>51102109</v>
      </c>
      <c r="D73" s="10">
        <f t="shared" si="1"/>
        <v>0.14044439927127078</v>
      </c>
      <c r="F73" t="s">
        <v>70</v>
      </c>
      <c r="G73" s="16">
        <v>6.4827037305691435E-2</v>
      </c>
    </row>
    <row r="74" spans="1:7">
      <c r="A74" t="str">
        <f>Festival_Data_Clean!A74</f>
        <v>Sunburn Goa</v>
      </c>
      <c r="B74">
        <f>Festival_Data_Clean!I74</f>
        <v>3975530</v>
      </c>
      <c r="C74">
        <f>Festival_Data_Clean!K74</f>
        <v>43592819</v>
      </c>
      <c r="D74" s="10">
        <f t="shared" si="1"/>
        <v>9.1196901030878505E-2</v>
      </c>
      <c r="F74" t="s">
        <v>59</v>
      </c>
      <c r="G74" s="16">
        <v>6.4290923431897906E-2</v>
      </c>
    </row>
    <row r="75" spans="1:7">
      <c r="A75" t="str">
        <f>Festival_Data_Clean!A75</f>
        <v>NH7 Pune</v>
      </c>
      <c r="B75">
        <f>Festival_Data_Clean!I75</f>
        <v>5630067</v>
      </c>
      <c r="C75">
        <f>Festival_Data_Clean!K75</f>
        <v>46917337</v>
      </c>
      <c r="D75" s="10">
        <f t="shared" si="1"/>
        <v>0.11999971353872876</v>
      </c>
      <c r="F75" t="s">
        <v>75</v>
      </c>
      <c r="G75" s="16">
        <v>6.0639713407693301E-2</v>
      </c>
    </row>
    <row r="76" spans="1:7">
      <c r="A76" t="str">
        <f>Festival_Data_Clean!A76</f>
        <v>Supersonic Bengaluru</v>
      </c>
      <c r="B76">
        <f>Festival_Data_Clean!I76</f>
        <v>1370391</v>
      </c>
      <c r="C76">
        <f>Festival_Data_Clean!K76</f>
        <v>23346669</v>
      </c>
      <c r="D76" s="10">
        <f t="shared" si="1"/>
        <v>5.869749556135824E-2</v>
      </c>
      <c r="F76" t="s">
        <v>77</v>
      </c>
      <c r="G76" s="16">
        <v>5.869749556135824E-2</v>
      </c>
    </row>
    <row r="77" spans="1:7">
      <c r="A77" t="str">
        <f>Festival_Data_Clean!A77</f>
        <v>Magnetic Fields Rajasthan</v>
      </c>
      <c r="B77">
        <f>Festival_Data_Clean!I77</f>
        <v>1861360</v>
      </c>
      <c r="C77">
        <f>Festival_Data_Clean!K77</f>
        <v>14443722</v>
      </c>
      <c r="D77" s="10">
        <f t="shared" si="1"/>
        <v>0.12886983008950187</v>
      </c>
      <c r="F77" t="s">
        <v>49</v>
      </c>
      <c r="G77" s="16">
        <v>5.778071066136746E-2</v>
      </c>
    </row>
    <row r="78" spans="1:7">
      <c r="A78" t="str">
        <f>Festival_Data_Clean!A78</f>
        <v>Hornbill Festival Nagaland</v>
      </c>
      <c r="B78">
        <f>Festival_Data_Clean!I78</f>
        <v>13875904</v>
      </c>
      <c r="C78">
        <f>Festival_Data_Clean!K78</f>
        <v>170631572</v>
      </c>
      <c r="D78" s="10">
        <f t="shared" si="1"/>
        <v>8.1320847234531715E-2</v>
      </c>
      <c r="F78" t="s">
        <v>70</v>
      </c>
      <c r="G78" s="16">
        <v>5.6444873004442418E-2</v>
      </c>
    </row>
    <row r="79" spans="1:7">
      <c r="A79" t="str">
        <f>Festival_Data_Clean!A79</f>
        <v>Hornbill Festival Nagaland</v>
      </c>
      <c r="B79">
        <f>Festival_Data_Clean!I79</f>
        <v>6777400</v>
      </c>
      <c r="C79">
        <f>Festival_Data_Clean!K79</f>
        <v>126301230</v>
      </c>
      <c r="D79" s="10">
        <f t="shared" si="1"/>
        <v>5.3660601721772623E-2</v>
      </c>
      <c r="F79" t="s">
        <v>62</v>
      </c>
      <c r="G79" s="16">
        <v>5.3660601721772623E-2</v>
      </c>
    </row>
    <row r="80" spans="1:7">
      <c r="A80" t="str">
        <f>Festival_Data_Clean!A80</f>
        <v>Sunburn Goa</v>
      </c>
      <c r="B80">
        <f>Festival_Data_Clean!I80</f>
        <v>6933626</v>
      </c>
      <c r="C80">
        <f>Festival_Data_Clean!K80</f>
        <v>64588411</v>
      </c>
      <c r="D80" s="10">
        <f t="shared" si="1"/>
        <v>0.10735093018467354</v>
      </c>
      <c r="F80" t="s">
        <v>75</v>
      </c>
      <c r="G80" s="16">
        <v>5.2345377337028258E-2</v>
      </c>
    </row>
    <row r="81" spans="1:7">
      <c r="A81" t="str">
        <f>Festival_Data_Clean!A81</f>
        <v>Supersonic Bengaluru</v>
      </c>
      <c r="B81">
        <f>Festival_Data_Clean!I81</f>
        <v>739956</v>
      </c>
      <c r="C81">
        <f>Festival_Data_Clean!K81</f>
        <v>22387950</v>
      </c>
      <c r="D81" s="10">
        <f t="shared" si="1"/>
        <v>3.3051529952496765E-2</v>
      </c>
      <c r="F81" t="s">
        <v>70</v>
      </c>
      <c r="G81" s="16">
        <v>5.2304127351067022E-2</v>
      </c>
    </row>
    <row r="82" spans="1:7">
      <c r="A82" t="str">
        <f>Festival_Data_Clean!A82</f>
        <v>Supersonic Bengaluru</v>
      </c>
      <c r="B82">
        <f>Festival_Data_Clean!I82</f>
        <v>1005452</v>
      </c>
      <c r="C82">
        <f>Festival_Data_Clean!K82</f>
        <v>15126408</v>
      </c>
      <c r="D82" s="10">
        <f t="shared" si="1"/>
        <v>6.646997753861987E-2</v>
      </c>
      <c r="F82" t="s">
        <v>53</v>
      </c>
      <c r="G82" s="16">
        <v>4.4015811348582665E-2</v>
      </c>
    </row>
    <row r="83" spans="1:7">
      <c r="A83" t="str">
        <f>Festival_Data_Clean!A83</f>
        <v>Supersonic Bengaluru</v>
      </c>
      <c r="B83">
        <f>Festival_Data_Clean!I83</f>
        <v>3114540</v>
      </c>
      <c r="C83">
        <f>Festival_Data_Clean!K83</f>
        <v>19625632</v>
      </c>
      <c r="D83" s="10">
        <f t="shared" si="1"/>
        <v>0.15869756449117153</v>
      </c>
      <c r="F83" t="s">
        <v>53</v>
      </c>
      <c r="G83" s="16">
        <v>4.325414633561684E-2</v>
      </c>
    </row>
    <row r="84" spans="1:7">
      <c r="A84" t="str">
        <f>Festival_Data_Clean!A84</f>
        <v>Lollapalooza Mumbai</v>
      </c>
      <c r="B84">
        <f>Festival_Data_Clean!I84</f>
        <v>14623938</v>
      </c>
      <c r="C84">
        <f>Festival_Data_Clean!K84</f>
        <v>152681973</v>
      </c>
      <c r="D84" s="10">
        <f t="shared" si="1"/>
        <v>9.5780383974996178E-2</v>
      </c>
      <c r="F84" t="s">
        <v>53</v>
      </c>
      <c r="G84" s="16">
        <v>4.1096982292701804E-2</v>
      </c>
    </row>
    <row r="85" spans="1:7">
      <c r="A85" t="str">
        <f>Festival_Data_Clean!A85</f>
        <v>Lollapalooza Mumbai</v>
      </c>
      <c r="B85">
        <f>Festival_Data_Clean!I85</f>
        <v>4118974</v>
      </c>
      <c r="C85">
        <f>Festival_Data_Clean!K85</f>
        <v>23974603</v>
      </c>
      <c r="D85" s="10">
        <f t="shared" si="1"/>
        <v>0.17180572291436902</v>
      </c>
      <c r="F85" t="s">
        <v>49</v>
      </c>
      <c r="G85" s="16">
        <v>4.0304159334426076E-2</v>
      </c>
    </row>
    <row r="86" spans="1:7">
      <c r="A86" t="str">
        <f>Festival_Data_Clean!A86</f>
        <v>Lollapalooza Mumbai</v>
      </c>
      <c r="B86">
        <f>Festival_Data_Clean!I86</f>
        <v>2193048</v>
      </c>
      <c r="C86">
        <f>Festival_Data_Clean!K86</f>
        <v>26980357</v>
      </c>
      <c r="D86" s="10">
        <f t="shared" si="1"/>
        <v>8.1283134985945513E-2</v>
      </c>
      <c r="F86" t="s">
        <v>77</v>
      </c>
      <c r="G86" s="16">
        <v>4.0107248656905944E-2</v>
      </c>
    </row>
    <row r="87" spans="1:7">
      <c r="A87" t="str">
        <f>Festival_Data_Clean!A87</f>
        <v>Ziro Festival Arunachal</v>
      </c>
      <c r="B87">
        <f>Festival_Data_Clean!I87</f>
        <v>1266825</v>
      </c>
      <c r="C87">
        <f>Festival_Data_Clean!K87</f>
        <v>30825256</v>
      </c>
      <c r="D87" s="10">
        <f t="shared" si="1"/>
        <v>4.1096982292701804E-2</v>
      </c>
      <c r="F87" t="s">
        <v>77</v>
      </c>
      <c r="G87" s="16">
        <v>3.9539113101194526E-2</v>
      </c>
    </row>
    <row r="88" spans="1:7">
      <c r="A88" t="str">
        <f>Festival_Data_Clean!A88</f>
        <v>Sunburn Goa</v>
      </c>
      <c r="B88">
        <f>Festival_Data_Clean!I88</f>
        <v>4874352</v>
      </c>
      <c r="C88">
        <f>Festival_Data_Clean!K88</f>
        <v>16292499</v>
      </c>
      <c r="D88" s="10">
        <f t="shared" si="1"/>
        <v>0.29917767679470164</v>
      </c>
      <c r="F88" t="s">
        <v>96</v>
      </c>
      <c r="G88" s="16">
        <v>3.8536991128844081E-2</v>
      </c>
    </row>
    <row r="89" spans="1:7">
      <c r="A89" t="str">
        <f>Festival_Data_Clean!A89</f>
        <v>VH1 Supersonic Delhi</v>
      </c>
      <c r="B89">
        <f>Festival_Data_Clean!I89</f>
        <v>2227694</v>
      </c>
      <c r="C89">
        <f>Festival_Data_Clean!K89</f>
        <v>26701574</v>
      </c>
      <c r="D89" s="10">
        <f t="shared" si="1"/>
        <v>8.342931394231666E-2</v>
      </c>
      <c r="F89" t="s">
        <v>53</v>
      </c>
      <c r="G89" s="16">
        <v>3.8428408945464697E-2</v>
      </c>
    </row>
    <row r="90" spans="1:7">
      <c r="A90" t="str">
        <f>Festival_Data_Clean!A90</f>
        <v>Magnetic Fields Rajasthan</v>
      </c>
      <c r="B90">
        <f>Festival_Data_Clean!I90</f>
        <v>13467824</v>
      </c>
      <c r="C90">
        <f>Festival_Data_Clean!K90</f>
        <v>88781374</v>
      </c>
      <c r="D90" s="10">
        <f t="shared" si="1"/>
        <v>0.1516965033679249</v>
      </c>
      <c r="F90" t="s">
        <v>70</v>
      </c>
      <c r="G90" s="16">
        <v>3.8111141724882905E-2</v>
      </c>
    </row>
    <row r="91" spans="1:7">
      <c r="A91" t="str">
        <f>Festival_Data_Clean!A91</f>
        <v>Bollywood Music Project</v>
      </c>
      <c r="B91">
        <f>Festival_Data_Clean!I91</f>
        <v>3280654</v>
      </c>
      <c r="C91">
        <f>Festival_Data_Clean!K91</f>
        <v>42341199</v>
      </c>
      <c r="D91" s="10">
        <f t="shared" si="1"/>
        <v>7.7481367497410733E-2</v>
      </c>
      <c r="F91" t="s">
        <v>53</v>
      </c>
      <c r="G91" s="16">
        <v>3.789184786646492E-2</v>
      </c>
    </row>
    <row r="92" spans="1:7">
      <c r="A92" t="str">
        <f>Festival_Data_Clean!A92</f>
        <v>VH1 Supersonic Delhi</v>
      </c>
      <c r="B92">
        <f>Festival_Data_Clean!I92</f>
        <v>1667442</v>
      </c>
      <c r="C92">
        <f>Festival_Data_Clean!K92</f>
        <v>45752253</v>
      </c>
      <c r="D92" s="10">
        <f t="shared" si="1"/>
        <v>3.6445024904019484E-2</v>
      </c>
      <c r="F92" t="s">
        <v>62</v>
      </c>
      <c r="G92" s="16">
        <v>3.714013344317596E-2</v>
      </c>
    </row>
    <row r="93" spans="1:7">
      <c r="A93" t="str">
        <f>Festival_Data_Clean!A93</f>
        <v>Supersonic Bengaluru</v>
      </c>
      <c r="B93">
        <f>Festival_Data_Clean!I93</f>
        <v>4231825</v>
      </c>
      <c r="C93">
        <f>Festival_Data_Clean!K93</f>
        <v>21531232</v>
      </c>
      <c r="D93" s="10">
        <f t="shared" si="1"/>
        <v>0.19654356053569066</v>
      </c>
      <c r="F93" t="s">
        <v>59</v>
      </c>
      <c r="G93" s="16">
        <v>3.6445024904019484E-2</v>
      </c>
    </row>
    <row r="94" spans="1:7">
      <c r="A94" t="str">
        <f>Festival_Data_Clean!A94</f>
        <v>Sunburn Goa</v>
      </c>
      <c r="B94">
        <f>Festival_Data_Clean!I94</f>
        <v>4089470</v>
      </c>
      <c r="C94">
        <f>Festival_Data_Clean!K94</f>
        <v>61125454</v>
      </c>
      <c r="D94" s="10">
        <f t="shared" si="1"/>
        <v>6.6902897768252159E-2</v>
      </c>
      <c r="F94" t="s">
        <v>53</v>
      </c>
      <c r="G94" s="16">
        <v>3.526326919426491E-2</v>
      </c>
    </row>
    <row r="95" spans="1:7">
      <c r="A95" t="str">
        <f>Festival_Data_Clean!A95</f>
        <v>Bollywood Music Project</v>
      </c>
      <c r="B95">
        <f>Festival_Data_Clean!I95</f>
        <v>5476185</v>
      </c>
      <c r="C95">
        <f>Festival_Data_Clean!K95</f>
        <v>143689870</v>
      </c>
      <c r="D95" s="10">
        <f t="shared" si="1"/>
        <v>3.8111141724882905E-2</v>
      </c>
      <c r="F95" t="s">
        <v>77</v>
      </c>
      <c r="G95" s="16">
        <v>3.3051529952496765E-2</v>
      </c>
    </row>
    <row r="96" spans="1:7">
      <c r="A96" t="str">
        <f>Festival_Data_Clean!A96</f>
        <v>Supersonic Bengaluru</v>
      </c>
      <c r="B96">
        <f>Festival_Data_Clean!I96</f>
        <v>6263201</v>
      </c>
      <c r="C96">
        <f>Festival_Data_Clean!K96</f>
        <v>158405197</v>
      </c>
      <c r="D96" s="10">
        <f t="shared" si="1"/>
        <v>3.9539113101194526E-2</v>
      </c>
      <c r="F96" t="s">
        <v>72</v>
      </c>
      <c r="G96" s="16">
        <v>3.1074783881362686E-2</v>
      </c>
    </row>
    <row r="97" spans="1:7">
      <c r="A97" t="str">
        <f>Festival_Data_Clean!A97</f>
        <v>Bollywood Music Project</v>
      </c>
      <c r="B97">
        <f>Festival_Data_Clean!I97</f>
        <v>5356125</v>
      </c>
      <c r="C97">
        <f>Festival_Data_Clean!K97</f>
        <v>56224996</v>
      </c>
      <c r="D97" s="10">
        <f t="shared" si="1"/>
        <v>9.5262345594475453E-2</v>
      </c>
      <c r="F97" t="s">
        <v>72</v>
      </c>
      <c r="G97" s="16">
        <v>3.0618631831793551E-2</v>
      </c>
    </row>
    <row r="98" spans="1:7">
      <c r="A98" t="str">
        <f>Festival_Data_Clean!A98</f>
        <v>Bollywood Music Project</v>
      </c>
      <c r="B98">
        <f>Festival_Data_Clean!I98</f>
        <v>2722125</v>
      </c>
      <c r="C98">
        <f>Festival_Data_Clean!K98</f>
        <v>41871336</v>
      </c>
      <c r="D98" s="10">
        <f t="shared" si="1"/>
        <v>6.501165857234649E-2</v>
      </c>
      <c r="F98" t="s">
        <v>59</v>
      </c>
      <c r="G98" s="16">
        <v>2.9449817852227028E-2</v>
      </c>
    </row>
    <row r="99" spans="1:7">
      <c r="A99" t="str">
        <f>Festival_Data_Clean!A99</f>
        <v>Hornbill Festival Nagaland</v>
      </c>
      <c r="B99">
        <f>Festival_Data_Clean!I99</f>
        <v>1734175</v>
      </c>
      <c r="C99">
        <f>Festival_Data_Clean!K99</f>
        <v>23891233</v>
      </c>
      <c r="D99" s="10">
        <f t="shared" si="1"/>
        <v>7.2586249525087299E-2</v>
      </c>
      <c r="F99" t="s">
        <v>62</v>
      </c>
      <c r="G99" s="16">
        <v>2.5384212723266231E-2</v>
      </c>
    </row>
    <row r="100" spans="1:7">
      <c r="A100" t="str">
        <f>Festival_Data_Clean!A100</f>
        <v>Hornbill Festival Nagaland</v>
      </c>
      <c r="B100">
        <f>Festival_Data_Clean!I100</f>
        <v>584100</v>
      </c>
      <c r="C100">
        <f>Festival_Data_Clean!K100</f>
        <v>23010365</v>
      </c>
      <c r="D100" s="10">
        <f t="shared" si="1"/>
        <v>2.5384212723266231E-2</v>
      </c>
      <c r="F100" t="s">
        <v>81</v>
      </c>
      <c r="G100" s="16">
        <v>1.4724386813126192E-2</v>
      </c>
    </row>
    <row r="101" spans="1:7">
      <c r="A101" t="str">
        <f>Festival_Data_Clean!A101</f>
        <v>Ziro Festival Arunachal</v>
      </c>
      <c r="B101">
        <f>Festival_Data_Clean!I101</f>
        <v>14545160</v>
      </c>
      <c r="C101">
        <f>Festival_Data_Clean!K101</f>
        <v>42318622</v>
      </c>
      <c r="D101" s="10">
        <f t="shared" si="1"/>
        <v>0.34370589855217876</v>
      </c>
      <c r="F101" t="s">
        <v>70</v>
      </c>
      <c r="G101" s="16">
        <v>1.2007550384813166E-2</v>
      </c>
    </row>
  </sheetData>
  <sortState xmlns:xlrd2="http://schemas.microsoft.com/office/spreadsheetml/2017/richdata2" ref="F2:G101">
    <sortCondition descending="1" ref="G2:G101"/>
  </sortState>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3ABB-8C55-4708-A791-FE5A42658523}">
  <dimension ref="A1:N101"/>
  <sheetViews>
    <sheetView zoomScale="77" workbookViewId="0">
      <selection activeCell="Q32" sqref="Q32"/>
    </sheetView>
  </sheetViews>
  <sheetFormatPr defaultRowHeight="14.4"/>
  <cols>
    <col min="1" max="1" width="10.109375" bestFit="1" customWidth="1"/>
    <col min="2" max="2" width="14.88671875" bestFit="1" customWidth="1"/>
    <col min="3" max="3" width="17.5546875" bestFit="1" customWidth="1"/>
    <col min="4" max="4" width="10.77734375" bestFit="1" customWidth="1"/>
    <col min="8" max="8" width="17.44140625" bestFit="1" customWidth="1"/>
    <col min="9" max="9" width="15.5546875" bestFit="1" customWidth="1"/>
    <col min="10" max="10" width="17.88671875" bestFit="1" customWidth="1"/>
    <col min="11" max="11" width="10" bestFit="1" customWidth="1"/>
    <col min="12" max="12" width="7.88671875" bestFit="1" customWidth="1"/>
    <col min="13" max="13" width="15.77734375" bestFit="1" customWidth="1"/>
    <col min="14" max="14" width="11.109375" bestFit="1" customWidth="1"/>
    <col min="15" max="15" width="10" bestFit="1" customWidth="1"/>
    <col min="16" max="16" width="11" bestFit="1" customWidth="1"/>
  </cols>
  <sheetData>
    <row r="1" spans="1:14">
      <c r="A1" s="11" t="s">
        <v>39</v>
      </c>
      <c r="B1" s="11" t="s">
        <v>180</v>
      </c>
      <c r="C1" s="11" t="s">
        <v>1</v>
      </c>
      <c r="D1" s="11" t="s">
        <v>191</v>
      </c>
    </row>
    <row r="2" spans="1:14">
      <c r="A2" t="str">
        <f>Festival_Data_Clean!B2</f>
        <v>Kolkata</v>
      </c>
      <c r="B2" t="str">
        <f>Festival_Data_Clean!E2</f>
        <v>Badshah</v>
      </c>
      <c r="C2" t="str">
        <f>_xlfn.XLOOKUP(B2,Artist_Popularity_Clean!A$2:A$11,Artist_Popularity_Clean!B$2:B$11,"Not Found")</f>
        <v>Bollywood</v>
      </c>
      <c r="D2">
        <f>Festival_Data_Clean!H2</f>
        <v>6166</v>
      </c>
      <c r="F2" s="17" t="s">
        <v>230</v>
      </c>
      <c r="G2" s="17" t="s">
        <v>229</v>
      </c>
    </row>
    <row r="3" spans="1:14">
      <c r="A3" t="str">
        <f>Festival_Data_Clean!B3</f>
        <v>Delhi</v>
      </c>
      <c r="B3" t="str">
        <f>Festival_Data_Clean!E3</f>
        <v>Honey Singh</v>
      </c>
      <c r="C3" t="str">
        <f>_xlfn.XLOOKUP(B3,Artist_Popularity_Clean!A$2:A$11,Artist_Popularity_Clean!B$2:B$11,"Not Found")</f>
        <v>Hip-Hop</v>
      </c>
      <c r="D3">
        <f>Festival_Data_Clean!H3</f>
        <v>40643</v>
      </c>
      <c r="F3" s="17" t="s">
        <v>227</v>
      </c>
      <c r="G3" t="s">
        <v>18</v>
      </c>
      <c r="H3" t="s">
        <v>36</v>
      </c>
      <c r="I3" t="s">
        <v>29</v>
      </c>
      <c r="J3" t="s">
        <v>14</v>
      </c>
      <c r="K3" t="s">
        <v>23</v>
      </c>
      <c r="L3" t="s">
        <v>10</v>
      </c>
      <c r="M3" t="s">
        <v>26</v>
      </c>
      <c r="N3" t="s">
        <v>228</v>
      </c>
    </row>
    <row r="4" spans="1:14">
      <c r="A4" t="str">
        <f>Festival_Data_Clean!B4</f>
        <v>Bengaluru</v>
      </c>
      <c r="B4" t="str">
        <f>Festival_Data_Clean!E4</f>
        <v>Bryan Adams</v>
      </c>
      <c r="C4" t="str">
        <f>_xlfn.XLOOKUP(B4,Artist_Popularity_Clean!A$2:A$11,Artist_Popularity_Clean!B$2:B$11,"Not Found")</f>
        <v>Rock</v>
      </c>
      <c r="D4">
        <f>Festival_Data_Clean!H4</f>
        <v>17889.900000000001</v>
      </c>
      <c r="F4" s="18" t="s">
        <v>84</v>
      </c>
      <c r="G4">
        <v>25243</v>
      </c>
      <c r="H4">
        <v>20603</v>
      </c>
      <c r="J4">
        <v>9316</v>
      </c>
      <c r="K4">
        <v>21248.01</v>
      </c>
      <c r="M4">
        <v>40269.11</v>
      </c>
      <c r="N4">
        <v>116679.12</v>
      </c>
    </row>
    <row r="5" spans="1:14">
      <c r="A5" t="str">
        <f>Festival_Data_Clean!B5</f>
        <v>Goa</v>
      </c>
      <c r="B5" t="str">
        <f>Festival_Data_Clean!E5</f>
        <v>Honey Singh</v>
      </c>
      <c r="C5" t="str">
        <f>_xlfn.XLOOKUP(B5,Artist_Popularity_Clean!A$2:A$11,Artist_Popularity_Clean!B$2:B$11,"Not Found")</f>
        <v>Hip-Hop</v>
      </c>
      <c r="D5">
        <f>Festival_Data_Clean!H5</f>
        <v>14688</v>
      </c>
      <c r="F5" s="18" t="s">
        <v>56</v>
      </c>
      <c r="G5">
        <v>54368</v>
      </c>
      <c r="H5">
        <v>8214</v>
      </c>
      <c r="I5">
        <v>31745</v>
      </c>
      <c r="J5">
        <v>16737</v>
      </c>
      <c r="K5">
        <v>14283</v>
      </c>
      <c r="L5">
        <v>7559.5</v>
      </c>
      <c r="M5">
        <v>17889.900000000001</v>
      </c>
      <c r="N5">
        <v>150796.4</v>
      </c>
    </row>
    <row r="6" spans="1:14">
      <c r="A6" t="str">
        <f>Festival_Data_Clean!B6</f>
        <v>Nagpur</v>
      </c>
      <c r="B6" t="str">
        <f>Festival_Data_Clean!E6</f>
        <v>Arijit Singh</v>
      </c>
      <c r="C6" t="str">
        <f>_xlfn.XLOOKUP(B6,Artist_Popularity_Clean!A$2:A$11,Artist_Popularity_Clean!B$2:B$11,"Not Found")</f>
        <v>Bollywood</v>
      </c>
      <c r="D6">
        <f>Festival_Data_Clean!H6</f>
        <v>35244</v>
      </c>
      <c r="F6" s="18" t="s">
        <v>94</v>
      </c>
      <c r="G6">
        <v>42305</v>
      </c>
      <c r="H6">
        <v>35304</v>
      </c>
      <c r="I6">
        <v>23590</v>
      </c>
      <c r="J6">
        <v>13994</v>
      </c>
      <c r="K6">
        <v>6000</v>
      </c>
      <c r="L6">
        <v>34043.1</v>
      </c>
      <c r="N6">
        <v>155236.1</v>
      </c>
    </row>
    <row r="7" spans="1:14">
      <c r="A7" t="str">
        <f>Festival_Data_Clean!B7</f>
        <v>Jaipur</v>
      </c>
      <c r="B7" t="str">
        <f>Festival_Data_Clean!E7</f>
        <v>Mika Singh</v>
      </c>
      <c r="C7" t="str">
        <f>_xlfn.XLOOKUP(B7,Artist_Popularity_Clean!A$2:A$11,Artist_Popularity_Clean!B$2:B$11,"Not Found")</f>
        <v>Bollywood</v>
      </c>
      <c r="D7">
        <f>Festival_Data_Clean!H7</f>
        <v>31020</v>
      </c>
      <c r="F7" s="18" t="s">
        <v>54</v>
      </c>
      <c r="G7">
        <v>60323</v>
      </c>
      <c r="H7">
        <v>58365.009999999995</v>
      </c>
      <c r="I7">
        <v>17172</v>
      </c>
      <c r="J7">
        <v>40643</v>
      </c>
      <c r="L7">
        <v>73143.199999999997</v>
      </c>
      <c r="M7">
        <v>30839.199999999997</v>
      </c>
      <c r="N7">
        <v>280485.41000000003</v>
      </c>
    </row>
    <row r="8" spans="1:14">
      <c r="A8" t="str">
        <f>Festival_Data_Clean!B8</f>
        <v>Goa</v>
      </c>
      <c r="B8" t="str">
        <f>Festival_Data_Clean!E8</f>
        <v>Bryan Adams</v>
      </c>
      <c r="C8" t="str">
        <f>_xlfn.XLOOKUP(B8,Artist_Popularity_Clean!A$2:A$11,Artist_Popularity_Clean!B$2:B$11,"Not Found")</f>
        <v>Rock</v>
      </c>
      <c r="D8">
        <f>Festival_Data_Clean!H8</f>
        <v>18778.2</v>
      </c>
      <c r="F8" s="18" t="s">
        <v>60</v>
      </c>
      <c r="G8">
        <v>172325</v>
      </c>
      <c r="H8">
        <v>45270.009999999995</v>
      </c>
      <c r="I8">
        <v>34524</v>
      </c>
      <c r="J8">
        <v>24248</v>
      </c>
      <c r="L8">
        <v>56160</v>
      </c>
      <c r="M8">
        <v>49625.1</v>
      </c>
      <c r="N8">
        <v>382152.11</v>
      </c>
    </row>
    <row r="9" spans="1:14">
      <c r="A9" t="str">
        <f>Festival_Data_Clean!B9</f>
        <v>Nagpur</v>
      </c>
      <c r="B9" t="str">
        <f>Festival_Data_Clean!E9</f>
        <v>Badshah</v>
      </c>
      <c r="C9" t="str">
        <f>_xlfn.XLOOKUP(B9,Artist_Popularity_Clean!A$2:A$11,Artist_Popularity_Clean!B$2:B$11,"Not Found")</f>
        <v>Bollywood</v>
      </c>
      <c r="D9">
        <f>Festival_Data_Clean!H9</f>
        <v>33535</v>
      </c>
      <c r="F9" s="18" t="s">
        <v>66</v>
      </c>
      <c r="G9">
        <v>123917.6</v>
      </c>
      <c r="H9">
        <v>31020</v>
      </c>
      <c r="I9">
        <v>80922</v>
      </c>
      <c r="J9">
        <v>13539</v>
      </c>
      <c r="L9">
        <v>85567.299999999988</v>
      </c>
      <c r="N9">
        <v>334965.90000000002</v>
      </c>
    </row>
    <row r="10" spans="1:14">
      <c r="A10" t="str">
        <f>Festival_Data_Clean!B10</f>
        <v>Delhi</v>
      </c>
      <c r="B10" t="str">
        <f>Festival_Data_Clean!E10</f>
        <v>Shreya Ghoshal</v>
      </c>
      <c r="C10" t="str">
        <f>_xlfn.XLOOKUP(B10,Artist_Popularity_Clean!A$2:A$11,Artist_Popularity_Clean!B$2:B$11,"Not Found")</f>
        <v>Classical/Bollywood</v>
      </c>
      <c r="D10">
        <f>Festival_Data_Clean!H10</f>
        <v>21248.01</v>
      </c>
      <c r="F10" s="18" t="s">
        <v>50</v>
      </c>
      <c r="G10">
        <v>57679</v>
      </c>
      <c r="J10">
        <v>32354</v>
      </c>
      <c r="L10">
        <v>45372.6</v>
      </c>
      <c r="M10">
        <v>9504.6</v>
      </c>
      <c r="N10">
        <v>144910.20000000001</v>
      </c>
    </row>
    <row r="11" spans="1:14">
      <c r="A11" t="str">
        <f>Festival_Data_Clean!B11</f>
        <v>Kolkata</v>
      </c>
      <c r="B11" t="str">
        <f>Festival_Data_Clean!E11</f>
        <v>Honey Singh</v>
      </c>
      <c r="C11" t="str">
        <f>_xlfn.XLOOKUP(B11,Artist_Popularity_Clean!A$2:A$11,Artist_Popularity_Clean!B$2:B$11,"Not Found")</f>
        <v>Hip-Hop</v>
      </c>
      <c r="D11">
        <f>Festival_Data_Clean!H11</f>
        <v>15513</v>
      </c>
      <c r="F11" s="18" t="s">
        <v>82</v>
      </c>
      <c r="G11">
        <v>30915</v>
      </c>
      <c r="I11">
        <v>19867</v>
      </c>
      <c r="L11">
        <v>28345.200000000001</v>
      </c>
      <c r="N11">
        <v>79127.199999999997</v>
      </c>
    </row>
    <row r="12" spans="1:14">
      <c r="A12" t="str">
        <f>Festival_Data_Clean!B12</f>
        <v>Jaipur</v>
      </c>
      <c r="B12" t="str">
        <f>Festival_Data_Clean!E12</f>
        <v>DJ Snake</v>
      </c>
      <c r="C12" t="str">
        <f>_xlfn.XLOOKUP(B12,Artist_Popularity_Clean!A$2:A$11,Artist_Popularity_Clean!B$2:B$11,"Not Found")</f>
        <v>EDM</v>
      </c>
      <c r="D12">
        <f>Festival_Data_Clean!H12</f>
        <v>21693</v>
      </c>
      <c r="F12" s="18" t="s">
        <v>63</v>
      </c>
      <c r="G12">
        <v>125387.01</v>
      </c>
      <c r="I12">
        <v>36250.009999999995</v>
      </c>
      <c r="J12">
        <v>67224</v>
      </c>
      <c r="K12">
        <v>46028</v>
      </c>
      <c r="M12">
        <v>35788.199999999997</v>
      </c>
      <c r="N12">
        <v>310677.22000000003</v>
      </c>
    </row>
    <row r="13" spans="1:14">
      <c r="A13" t="str">
        <f>Festival_Data_Clean!B13</f>
        <v>Goa</v>
      </c>
      <c r="B13" t="str">
        <f>Festival_Data_Clean!E13</f>
        <v>Shreya Ghoshal</v>
      </c>
      <c r="C13" t="str">
        <f>_xlfn.XLOOKUP(B13,Artist_Popularity_Clean!A$2:A$11,Artist_Popularity_Clean!B$2:B$11,"Not Found")</f>
        <v>Classical/Bollywood</v>
      </c>
      <c r="D13">
        <f>Festival_Data_Clean!H13</f>
        <v>24021</v>
      </c>
      <c r="F13" s="18" t="s">
        <v>78</v>
      </c>
      <c r="G13">
        <v>40702</v>
      </c>
      <c r="H13">
        <v>11366.6</v>
      </c>
      <c r="I13">
        <v>40916</v>
      </c>
      <c r="J13">
        <v>32900</v>
      </c>
      <c r="K13">
        <v>11790</v>
      </c>
      <c r="L13">
        <v>33241</v>
      </c>
      <c r="M13">
        <v>11366.6</v>
      </c>
      <c r="N13">
        <v>182282.2</v>
      </c>
    </row>
    <row r="14" spans="1:14">
      <c r="A14" t="str">
        <f>Festival_Data_Clean!B14</f>
        <v>Pune</v>
      </c>
      <c r="B14" t="str">
        <f>Festival_Data_Clean!E14</f>
        <v>Diljit Dosanjh</v>
      </c>
      <c r="C14" t="str">
        <f>_xlfn.XLOOKUP(B14,Artist_Popularity_Clean!A$2:A$11,Artist_Popularity_Clean!B$2:B$11,"Not Found")</f>
        <v>Punjabi</v>
      </c>
      <c r="D14">
        <f>Festival_Data_Clean!H14</f>
        <v>33241</v>
      </c>
      <c r="F14" s="18" t="s">
        <v>228</v>
      </c>
      <c r="G14">
        <v>733164.61</v>
      </c>
      <c r="H14">
        <v>210142.62</v>
      </c>
      <c r="I14">
        <v>284986.01</v>
      </c>
      <c r="J14">
        <v>250955</v>
      </c>
      <c r="K14">
        <v>99349.01</v>
      </c>
      <c r="L14">
        <v>363431.89999999997</v>
      </c>
      <c r="M14">
        <v>195282.71</v>
      </c>
      <c r="N14">
        <v>2137311.86</v>
      </c>
    </row>
    <row r="15" spans="1:14">
      <c r="A15" t="str">
        <f>Festival_Data_Clean!B15</f>
        <v>Mumbai</v>
      </c>
      <c r="B15" t="str">
        <f>Festival_Data_Clean!E15</f>
        <v>Martin Garrix</v>
      </c>
      <c r="C15" t="str">
        <f>_xlfn.XLOOKUP(B15,Artist_Popularity_Clean!A$2:A$11,Artist_Popularity_Clean!B$2:B$11,"Not Found")</f>
        <v>EDM</v>
      </c>
      <c r="D15">
        <f>Festival_Data_Clean!H15</f>
        <v>19867</v>
      </c>
    </row>
    <row r="16" spans="1:14">
      <c r="A16" t="str">
        <f>Festival_Data_Clean!B16</f>
        <v>Amritsar</v>
      </c>
      <c r="B16" t="str">
        <f>Festival_Data_Clean!E16</f>
        <v>Shreya Ghoshal</v>
      </c>
      <c r="C16" t="str">
        <f>_xlfn.XLOOKUP(B16,Artist_Popularity_Clean!A$2:A$11,Artist_Popularity_Clean!B$2:B$11,"Not Found")</f>
        <v>Classical/Bollywood</v>
      </c>
      <c r="D16">
        <f>Festival_Data_Clean!H16</f>
        <v>20603</v>
      </c>
    </row>
    <row r="17" spans="1:4">
      <c r="A17" t="str">
        <f>Festival_Data_Clean!B17</f>
        <v>Kolkata</v>
      </c>
      <c r="B17" t="str">
        <f>Festival_Data_Clean!E17</f>
        <v>Bryan Adams</v>
      </c>
      <c r="C17" t="str">
        <f>_xlfn.XLOOKUP(B17,Artist_Popularity_Clean!A$2:A$11,Artist_Popularity_Clean!B$2:B$11,"Not Found")</f>
        <v>Rock</v>
      </c>
      <c r="D17">
        <f>Festival_Data_Clean!H17</f>
        <v>9504.6</v>
      </c>
    </row>
    <row r="18" spans="1:4">
      <c r="A18" t="str">
        <f>Festival_Data_Clean!B18</f>
        <v>Delhi</v>
      </c>
      <c r="B18" t="str">
        <f>Festival_Data_Clean!E18</f>
        <v>Bryan Adams</v>
      </c>
      <c r="C18" t="str">
        <f>_xlfn.XLOOKUP(B18,Artist_Popularity_Clean!A$2:A$11,Artist_Popularity_Clean!B$2:B$11,"Not Found")</f>
        <v>Rock</v>
      </c>
      <c r="D18">
        <f>Festival_Data_Clean!H18</f>
        <v>9158.1</v>
      </c>
    </row>
    <row r="19" spans="1:4">
      <c r="A19" t="str">
        <f>Festival_Data_Clean!B19</f>
        <v>Pune</v>
      </c>
      <c r="B19" t="str">
        <f>Festival_Data_Clean!E19</f>
        <v>Ed Sheeran</v>
      </c>
      <c r="C19" t="str">
        <f>_xlfn.XLOOKUP(B19,Artist_Popularity_Clean!A$2:A$11,Artist_Popularity_Clean!B$2:B$11,"Not Found")</f>
        <v>International Pop</v>
      </c>
      <c r="D19">
        <f>Festival_Data_Clean!H19</f>
        <v>11790</v>
      </c>
    </row>
    <row r="20" spans="1:4">
      <c r="A20" t="str">
        <f>Festival_Data_Clean!B20</f>
        <v>Delhi</v>
      </c>
      <c r="B20" t="str">
        <f>Festival_Data_Clean!E20</f>
        <v>Shreya Ghoshal</v>
      </c>
      <c r="C20" t="str">
        <f>_xlfn.XLOOKUP(B20,Artist_Popularity_Clean!A$2:A$11,Artist_Popularity_Clean!B$2:B$11,"Not Found")</f>
        <v>Classical/Bollywood</v>
      </c>
      <c r="D20">
        <f>Festival_Data_Clean!H20</f>
        <v>31755</v>
      </c>
    </row>
    <row r="21" spans="1:4">
      <c r="A21" t="str">
        <f>Festival_Data_Clean!B21</f>
        <v>Nagpur</v>
      </c>
      <c r="B21" t="str">
        <f>Festival_Data_Clean!E21</f>
        <v>Bryan Adams</v>
      </c>
      <c r="C21" t="str">
        <f>_xlfn.XLOOKUP(B21,Artist_Popularity_Clean!A$2:A$11,Artist_Popularity_Clean!B$2:B$11,"Not Found")</f>
        <v>Rock</v>
      </c>
      <c r="D21">
        <f>Festival_Data_Clean!H21</f>
        <v>2975.7</v>
      </c>
    </row>
    <row r="22" spans="1:4">
      <c r="A22" t="str">
        <f>Festival_Data_Clean!B22</f>
        <v>Delhi</v>
      </c>
      <c r="B22" t="str">
        <f>Festival_Data_Clean!E22</f>
        <v>Badshah</v>
      </c>
      <c r="C22" t="str">
        <f>_xlfn.XLOOKUP(B22,Artist_Popularity_Clean!A$2:A$11,Artist_Popularity_Clean!B$2:B$11,"Not Found")</f>
        <v>Bollywood</v>
      </c>
      <c r="D22">
        <f>Festival_Data_Clean!H22</f>
        <v>27719</v>
      </c>
    </row>
    <row r="23" spans="1:4">
      <c r="A23" t="str">
        <f>Festival_Data_Clean!B23</f>
        <v>Bengaluru</v>
      </c>
      <c r="B23" t="str">
        <f>Festival_Data_Clean!E23</f>
        <v>Arijit Singh</v>
      </c>
      <c r="C23" t="str">
        <f>_xlfn.XLOOKUP(B23,Artist_Popularity_Clean!A$2:A$11,Artist_Popularity_Clean!B$2:B$11,"Not Found")</f>
        <v>Bollywood</v>
      </c>
      <c r="D23">
        <f>Festival_Data_Clean!H23</f>
        <v>21142</v>
      </c>
    </row>
    <row r="24" spans="1:4">
      <c r="A24" t="str">
        <f>Festival_Data_Clean!B24</f>
        <v>Chandigarh</v>
      </c>
      <c r="B24" t="str">
        <f>Festival_Data_Clean!E24</f>
        <v>Martin Garrix</v>
      </c>
      <c r="C24" t="str">
        <f>_xlfn.XLOOKUP(B24,Artist_Popularity_Clean!A$2:A$11,Artist_Popularity_Clean!B$2:B$11,"Not Found")</f>
        <v>EDM</v>
      </c>
      <c r="D24">
        <f>Festival_Data_Clean!H24</f>
        <v>16842</v>
      </c>
    </row>
    <row r="25" spans="1:4">
      <c r="A25" t="str">
        <f>Festival_Data_Clean!B25</f>
        <v>Delhi</v>
      </c>
      <c r="B25" t="str">
        <f>Festival_Data_Clean!E25</f>
        <v>Diljit Dosanjh</v>
      </c>
      <c r="C25" t="str">
        <f>_xlfn.XLOOKUP(B25,Artist_Popularity_Clean!A$2:A$11,Artist_Popularity_Clean!B$2:B$11,"Not Found")</f>
        <v>Punjabi</v>
      </c>
      <c r="D25">
        <f>Festival_Data_Clean!H25</f>
        <v>14456</v>
      </c>
    </row>
    <row r="26" spans="1:4">
      <c r="A26" t="str">
        <f>Festival_Data_Clean!B26</f>
        <v>Amritsar</v>
      </c>
      <c r="B26" t="str">
        <f>Festival_Data_Clean!E26</f>
        <v>Badshah</v>
      </c>
      <c r="C26" t="str">
        <f>_xlfn.XLOOKUP(B26,Artist_Popularity_Clean!A$2:A$11,Artist_Popularity_Clean!B$2:B$11,"Not Found")</f>
        <v>Bollywood</v>
      </c>
      <c r="D26">
        <f>Festival_Data_Clean!H26</f>
        <v>25243</v>
      </c>
    </row>
    <row r="27" spans="1:4">
      <c r="A27" t="str">
        <f>Festival_Data_Clean!B27</f>
        <v>Jaipur</v>
      </c>
      <c r="B27" t="str">
        <f>Festival_Data_Clean!E27</f>
        <v>Honey Singh</v>
      </c>
      <c r="C27" t="str">
        <f>_xlfn.XLOOKUP(B27,Artist_Popularity_Clean!A$2:A$11,Artist_Popularity_Clean!B$2:B$11,"Not Found")</f>
        <v>Hip-Hop</v>
      </c>
      <c r="D27">
        <f>Festival_Data_Clean!H27</f>
        <v>13539</v>
      </c>
    </row>
    <row r="28" spans="1:4">
      <c r="A28" t="str">
        <f>Festival_Data_Clean!B28</f>
        <v>Pune</v>
      </c>
      <c r="B28" t="str">
        <f>Festival_Data_Clean!E28</f>
        <v>Badshah</v>
      </c>
      <c r="C28" t="str">
        <f>_xlfn.XLOOKUP(B28,Artist_Popularity_Clean!A$2:A$11,Artist_Popularity_Clean!B$2:B$11,"Not Found")</f>
        <v>Bollywood</v>
      </c>
      <c r="D28">
        <f>Festival_Data_Clean!H28</f>
        <v>36462</v>
      </c>
    </row>
    <row r="29" spans="1:4">
      <c r="A29" t="str">
        <f>Festival_Data_Clean!B29</f>
        <v>Goa</v>
      </c>
      <c r="B29" t="str">
        <f>Festival_Data_Clean!E29</f>
        <v>Badshah</v>
      </c>
      <c r="C29" t="str">
        <f>_xlfn.XLOOKUP(B29,Artist_Popularity_Clean!A$2:A$11,Artist_Popularity_Clean!B$2:B$11,"Not Found")</f>
        <v>Bollywood</v>
      </c>
      <c r="D29">
        <f>Festival_Data_Clean!H29</f>
        <v>32540</v>
      </c>
    </row>
    <row r="30" spans="1:4">
      <c r="A30" t="str">
        <f>Festival_Data_Clean!B30</f>
        <v>Amritsar</v>
      </c>
      <c r="B30" t="str">
        <f>Festival_Data_Clean!E30</f>
        <v>Honey Singh</v>
      </c>
      <c r="C30" t="str">
        <f>_xlfn.XLOOKUP(B30,Artist_Popularity_Clean!A$2:A$11,Artist_Popularity_Clean!B$2:B$11,"Not Found")</f>
        <v>Hip-Hop</v>
      </c>
      <c r="D30">
        <f>Festival_Data_Clean!H30</f>
        <v>9316</v>
      </c>
    </row>
    <row r="31" spans="1:4">
      <c r="A31" t="str">
        <f>Festival_Data_Clean!B31</f>
        <v>Delhi</v>
      </c>
      <c r="B31" t="str">
        <f>Festival_Data_Clean!E31</f>
        <v>DJ Snake</v>
      </c>
      <c r="C31" t="str">
        <f>_xlfn.XLOOKUP(B31,Artist_Popularity_Clean!A$2:A$11,Artist_Popularity_Clean!B$2:B$11,"Not Found")</f>
        <v>EDM</v>
      </c>
      <c r="D31">
        <f>Festival_Data_Clean!H31</f>
        <v>17172</v>
      </c>
    </row>
    <row r="32" spans="1:4">
      <c r="A32" t="str">
        <f>Festival_Data_Clean!B32</f>
        <v>Bengaluru</v>
      </c>
      <c r="B32" t="str">
        <f>Festival_Data_Clean!E32</f>
        <v>Honey Singh</v>
      </c>
      <c r="C32" t="str">
        <f>_xlfn.XLOOKUP(B32,Artist_Popularity_Clean!A$2:A$11,Artist_Popularity_Clean!B$2:B$11,"Not Found")</f>
        <v>Hip-Hop</v>
      </c>
      <c r="D32">
        <f>Festival_Data_Clean!H32</f>
        <v>16737</v>
      </c>
    </row>
    <row r="33" spans="1:4">
      <c r="A33" t="str">
        <f>Festival_Data_Clean!B33</f>
        <v>Chandigarh</v>
      </c>
      <c r="B33" t="str">
        <f>Festival_Data_Clean!E33</f>
        <v>Shreya Ghoshal</v>
      </c>
      <c r="C33" t="str">
        <f>_xlfn.XLOOKUP(B33,Artist_Popularity_Clean!A$2:A$11,Artist_Popularity_Clean!B$2:B$11,"Not Found")</f>
        <v>Classical/Bollywood</v>
      </c>
      <c r="D33">
        <f>Festival_Data_Clean!H33</f>
        <v>35304</v>
      </c>
    </row>
    <row r="34" spans="1:4">
      <c r="A34" t="str">
        <f>Festival_Data_Clean!B34</f>
        <v>Kolkata</v>
      </c>
      <c r="B34" t="str">
        <f>Festival_Data_Clean!E34</f>
        <v>Honey Singh</v>
      </c>
      <c r="C34" t="str">
        <f>_xlfn.XLOOKUP(B34,Artist_Popularity_Clean!A$2:A$11,Artist_Popularity_Clean!B$2:B$11,"Not Found")</f>
        <v>Hip-Hop</v>
      </c>
      <c r="D34">
        <f>Festival_Data_Clean!H34</f>
        <v>16841</v>
      </c>
    </row>
    <row r="35" spans="1:4">
      <c r="A35" t="str">
        <f>Festival_Data_Clean!B35</f>
        <v>Goa</v>
      </c>
      <c r="B35" t="str">
        <f>Festival_Data_Clean!E35</f>
        <v>Bryan Adams</v>
      </c>
      <c r="C35" t="str">
        <f>_xlfn.XLOOKUP(B35,Artist_Popularity_Clean!A$2:A$11,Artist_Popularity_Clean!B$2:B$11,"Not Found")</f>
        <v>Rock</v>
      </c>
      <c r="D35">
        <f>Festival_Data_Clean!H35</f>
        <v>18210.5</v>
      </c>
    </row>
    <row r="36" spans="1:4">
      <c r="A36" t="str">
        <f>Festival_Data_Clean!B36</f>
        <v>Delhi</v>
      </c>
      <c r="B36" t="str">
        <f>Festival_Data_Clean!E36</f>
        <v>Diljit Dosanjh</v>
      </c>
      <c r="C36" t="str">
        <f>_xlfn.XLOOKUP(B36,Artist_Popularity_Clean!A$2:A$11,Artist_Popularity_Clean!B$2:B$11,"Not Found")</f>
        <v>Punjabi</v>
      </c>
      <c r="D36">
        <f>Festival_Data_Clean!H36</f>
        <v>58687.199999999997</v>
      </c>
    </row>
    <row r="37" spans="1:4">
      <c r="A37" t="str">
        <f>Festival_Data_Clean!B37</f>
        <v>Bengaluru</v>
      </c>
      <c r="B37" t="str">
        <f>Festival_Data_Clean!E37</f>
        <v>Diljit Dosanjh</v>
      </c>
      <c r="C37" t="str">
        <f>_xlfn.XLOOKUP(B37,Artist_Popularity_Clean!A$2:A$11,Artist_Popularity_Clean!B$2:B$11,"Not Found")</f>
        <v>Punjabi</v>
      </c>
      <c r="D37">
        <f>Festival_Data_Clean!H37</f>
        <v>7559.5</v>
      </c>
    </row>
    <row r="38" spans="1:4">
      <c r="A38" t="str">
        <f>Festival_Data_Clean!B38</f>
        <v>Bengaluru</v>
      </c>
      <c r="B38" t="str">
        <f>Festival_Data_Clean!E38</f>
        <v>Martin Garrix</v>
      </c>
      <c r="C38" t="str">
        <f>_xlfn.XLOOKUP(B38,Artist_Popularity_Clean!A$2:A$11,Artist_Popularity_Clean!B$2:B$11,"Not Found")</f>
        <v>EDM</v>
      </c>
      <c r="D38">
        <f>Festival_Data_Clean!H38</f>
        <v>31745</v>
      </c>
    </row>
    <row r="39" spans="1:4">
      <c r="A39" t="str">
        <f>Festival_Data_Clean!B39</f>
        <v>Mumbai</v>
      </c>
      <c r="B39" t="str">
        <f>Festival_Data_Clean!E39</f>
        <v>Mika Singh</v>
      </c>
      <c r="C39" t="str">
        <f>_xlfn.XLOOKUP(B39,Artist_Popularity_Clean!A$2:A$11,Artist_Popularity_Clean!B$2:B$11,"Not Found")</f>
        <v>Bollywood</v>
      </c>
      <c r="D39">
        <f>Festival_Data_Clean!H39</f>
        <v>12688</v>
      </c>
    </row>
    <row r="40" spans="1:4">
      <c r="A40" t="str">
        <f>Festival_Data_Clean!B40</f>
        <v>Chandigarh</v>
      </c>
      <c r="B40" t="str">
        <f>Festival_Data_Clean!E40</f>
        <v>Mika Singh</v>
      </c>
      <c r="C40" t="str">
        <f>_xlfn.XLOOKUP(B40,Artist_Popularity_Clean!A$2:A$11,Artist_Popularity_Clean!B$2:B$11,"Not Found")</f>
        <v>Bollywood</v>
      </c>
      <c r="D40">
        <f>Festival_Data_Clean!H40</f>
        <v>20276</v>
      </c>
    </row>
    <row r="41" spans="1:4">
      <c r="A41" t="str">
        <f>Festival_Data_Clean!B41</f>
        <v>Nagpur</v>
      </c>
      <c r="B41" t="str">
        <f>Festival_Data_Clean!E41</f>
        <v>Badshah</v>
      </c>
      <c r="C41" t="str">
        <f>_xlfn.XLOOKUP(B41,Artist_Popularity_Clean!A$2:A$11,Artist_Popularity_Clean!B$2:B$11,"Not Found")</f>
        <v>Bollywood</v>
      </c>
      <c r="D41">
        <f>Festival_Data_Clean!H41</f>
        <v>21248.01</v>
      </c>
    </row>
    <row r="42" spans="1:4">
      <c r="A42" t="str">
        <f>Festival_Data_Clean!B42</f>
        <v>Goa</v>
      </c>
      <c r="B42" t="str">
        <f>Festival_Data_Clean!E42</f>
        <v>Diljit Dosanjh</v>
      </c>
      <c r="C42" t="str">
        <f>_xlfn.XLOOKUP(B42,Artist_Popularity_Clean!A$2:A$11,Artist_Popularity_Clean!B$2:B$11,"Not Found")</f>
        <v>Punjabi</v>
      </c>
      <c r="D42">
        <f>Festival_Data_Clean!H42</f>
        <v>56160</v>
      </c>
    </row>
    <row r="43" spans="1:4">
      <c r="A43" t="str">
        <f>Festival_Data_Clean!B43</f>
        <v>Chandigarh</v>
      </c>
      <c r="B43" t="str">
        <f>Festival_Data_Clean!E43</f>
        <v>Diljit Dosanjh</v>
      </c>
      <c r="C43" t="str">
        <f>_xlfn.XLOOKUP(B43,Artist_Popularity_Clean!A$2:A$11,Artist_Popularity_Clean!B$2:B$11,"Not Found")</f>
        <v>Punjabi</v>
      </c>
      <c r="D43">
        <f>Festival_Data_Clean!H43</f>
        <v>34043.1</v>
      </c>
    </row>
    <row r="44" spans="1:4">
      <c r="A44" t="str">
        <f>Festival_Data_Clean!B44</f>
        <v>Kolkata</v>
      </c>
      <c r="B44" t="str">
        <f>Festival_Data_Clean!E44</f>
        <v>Badshah</v>
      </c>
      <c r="C44" t="str">
        <f>_xlfn.XLOOKUP(B44,Artist_Popularity_Clean!A$2:A$11,Artist_Popularity_Clean!B$2:B$11,"Not Found")</f>
        <v>Bollywood</v>
      </c>
      <c r="D44">
        <f>Festival_Data_Clean!H44</f>
        <v>34318</v>
      </c>
    </row>
    <row r="45" spans="1:4">
      <c r="A45" t="str">
        <f>Festival_Data_Clean!B45</f>
        <v>Chandigarh</v>
      </c>
      <c r="B45" t="str">
        <f>Festival_Data_Clean!E45</f>
        <v>Mika Singh</v>
      </c>
      <c r="C45" t="str">
        <f>_xlfn.XLOOKUP(B45,Artist_Popularity_Clean!A$2:A$11,Artist_Popularity_Clean!B$2:B$11,"Not Found")</f>
        <v>Bollywood</v>
      </c>
      <c r="D45">
        <f>Festival_Data_Clean!H45</f>
        <v>22029</v>
      </c>
    </row>
    <row r="46" spans="1:4">
      <c r="A46" t="str">
        <f>Festival_Data_Clean!B46</f>
        <v>Jaipur</v>
      </c>
      <c r="B46" t="str">
        <f>Festival_Data_Clean!E46</f>
        <v>Diljit Dosanjh</v>
      </c>
      <c r="C46" t="str">
        <f>_xlfn.XLOOKUP(B46,Artist_Popularity_Clean!A$2:A$11,Artist_Popularity_Clean!B$2:B$11,"Not Found")</f>
        <v>Punjabi</v>
      </c>
      <c r="D46">
        <f>Festival_Data_Clean!H46</f>
        <v>52642.2</v>
      </c>
    </row>
    <row r="47" spans="1:4">
      <c r="A47" t="str">
        <f>Festival_Data_Clean!B47</f>
        <v>Mumbai</v>
      </c>
      <c r="B47" t="str">
        <f>Festival_Data_Clean!E47</f>
        <v>Diljit Dosanjh</v>
      </c>
      <c r="C47" t="str">
        <f>_xlfn.XLOOKUP(B47,Artist_Popularity_Clean!A$2:A$11,Artist_Popularity_Clean!B$2:B$11,"Not Found")</f>
        <v>Punjabi</v>
      </c>
      <c r="D47">
        <f>Festival_Data_Clean!H47</f>
        <v>28345.200000000001</v>
      </c>
    </row>
    <row r="48" spans="1:4">
      <c r="A48" t="str">
        <f>Festival_Data_Clean!B48</f>
        <v>Goa</v>
      </c>
      <c r="B48" t="str">
        <f>Festival_Data_Clean!E48</f>
        <v>Mika Singh</v>
      </c>
      <c r="C48" t="str">
        <f>_xlfn.XLOOKUP(B48,Artist_Popularity_Clean!A$2:A$11,Artist_Popularity_Clean!B$2:B$11,"Not Found")</f>
        <v>Bollywood</v>
      </c>
      <c r="D48">
        <f>Festival_Data_Clean!H48</f>
        <v>31752</v>
      </c>
    </row>
    <row r="49" spans="1:4">
      <c r="A49" t="str">
        <f>Festival_Data_Clean!B49</f>
        <v>Bengaluru</v>
      </c>
      <c r="B49" t="str">
        <f>Festival_Data_Clean!E49</f>
        <v>Arijit Singh</v>
      </c>
      <c r="C49" t="str">
        <f>_xlfn.XLOOKUP(B49,Artist_Popularity_Clean!A$2:A$11,Artist_Popularity_Clean!B$2:B$11,"Not Found")</f>
        <v>Bollywood</v>
      </c>
      <c r="D49">
        <f>Festival_Data_Clean!H49</f>
        <v>7651</v>
      </c>
    </row>
    <row r="50" spans="1:4">
      <c r="A50" t="str">
        <f>Festival_Data_Clean!B50</f>
        <v>Chandigarh</v>
      </c>
      <c r="B50" t="str">
        <f>Festival_Data_Clean!E50</f>
        <v>Ed Sheeran</v>
      </c>
      <c r="C50" t="str">
        <f>_xlfn.XLOOKUP(B50,Artist_Popularity_Clean!A$2:A$11,Artist_Popularity_Clean!B$2:B$11,"Not Found")</f>
        <v>International Pop</v>
      </c>
      <c r="D50">
        <f>Festival_Data_Clean!H50</f>
        <v>6000</v>
      </c>
    </row>
    <row r="51" spans="1:4">
      <c r="A51" t="str">
        <f>Festival_Data_Clean!B51</f>
        <v>Jaipur</v>
      </c>
      <c r="B51" t="str">
        <f>Festival_Data_Clean!E51</f>
        <v>Diljit Dosanjh</v>
      </c>
      <c r="C51" t="str">
        <f>_xlfn.XLOOKUP(B51,Artist_Popularity_Clean!A$2:A$11,Artist_Popularity_Clean!B$2:B$11,"Not Found")</f>
        <v>Punjabi</v>
      </c>
      <c r="D51">
        <f>Festival_Data_Clean!H51</f>
        <v>32925.1</v>
      </c>
    </row>
    <row r="52" spans="1:4">
      <c r="A52" t="str">
        <f>Festival_Data_Clean!B52</f>
        <v>Nagpur</v>
      </c>
      <c r="B52" t="str">
        <f>Festival_Data_Clean!E52</f>
        <v>Bryan Adams</v>
      </c>
      <c r="C52" t="str">
        <f>_xlfn.XLOOKUP(B52,Artist_Popularity_Clean!A$2:A$11,Artist_Popularity_Clean!B$2:B$11,"Not Found")</f>
        <v>Rock</v>
      </c>
      <c r="D52">
        <f>Festival_Data_Clean!H52</f>
        <v>9412.2000000000007</v>
      </c>
    </row>
    <row r="53" spans="1:4">
      <c r="A53" t="str">
        <f>Festival_Data_Clean!B53</f>
        <v>Goa</v>
      </c>
      <c r="B53" t="str">
        <f>Festival_Data_Clean!E53</f>
        <v>Arijit Singh</v>
      </c>
      <c r="C53" t="str">
        <f>_xlfn.XLOOKUP(B53,Artist_Popularity_Clean!A$2:A$11,Artist_Popularity_Clean!B$2:B$11,"Not Found")</f>
        <v>Bollywood</v>
      </c>
      <c r="D53">
        <f>Festival_Data_Clean!H53</f>
        <v>17457</v>
      </c>
    </row>
    <row r="54" spans="1:4">
      <c r="A54" t="str">
        <f>Festival_Data_Clean!B54</f>
        <v>Jaipur</v>
      </c>
      <c r="B54" t="str">
        <f>Festival_Data_Clean!E54</f>
        <v>Martin Garrix</v>
      </c>
      <c r="C54" t="str">
        <f>_xlfn.XLOOKUP(B54,Artist_Popularity_Clean!A$2:A$11,Artist_Popularity_Clean!B$2:B$11,"Not Found")</f>
        <v>EDM</v>
      </c>
      <c r="D54">
        <f>Festival_Data_Clean!H54</f>
        <v>23456</v>
      </c>
    </row>
    <row r="55" spans="1:4">
      <c r="A55" t="str">
        <f>Festival_Data_Clean!B55</f>
        <v>Goa</v>
      </c>
      <c r="B55" t="str">
        <f>Festival_Data_Clean!E55</f>
        <v>Bryan Adams</v>
      </c>
      <c r="C55" t="str">
        <f>_xlfn.XLOOKUP(B55,Artist_Popularity_Clean!A$2:A$11,Artist_Popularity_Clean!B$2:B$11,"Not Found")</f>
        <v>Rock</v>
      </c>
      <c r="D55">
        <f>Festival_Data_Clean!H55</f>
        <v>12636.4</v>
      </c>
    </row>
    <row r="56" spans="1:4">
      <c r="A56" t="str">
        <f>Festival_Data_Clean!B56</f>
        <v>Nagpur</v>
      </c>
      <c r="B56" t="str">
        <f>Festival_Data_Clean!E56</f>
        <v>Honey Singh</v>
      </c>
      <c r="C56" t="str">
        <f>_xlfn.XLOOKUP(B56,Artist_Popularity_Clean!A$2:A$11,Artist_Popularity_Clean!B$2:B$11,"Not Found")</f>
        <v>Hip-Hop</v>
      </c>
      <c r="D56">
        <f>Festival_Data_Clean!H56</f>
        <v>26922</v>
      </c>
    </row>
    <row r="57" spans="1:4">
      <c r="A57" t="str">
        <f>Festival_Data_Clean!B57</f>
        <v>Nagpur</v>
      </c>
      <c r="B57" t="str">
        <f>Festival_Data_Clean!E57</f>
        <v>Bryan Adams</v>
      </c>
      <c r="C57" t="str">
        <f>_xlfn.XLOOKUP(B57,Artist_Popularity_Clean!A$2:A$11,Artist_Popularity_Clean!B$2:B$11,"Not Found")</f>
        <v>Rock</v>
      </c>
      <c r="D57">
        <f>Festival_Data_Clean!H57</f>
        <v>23400.3</v>
      </c>
    </row>
    <row r="58" spans="1:4">
      <c r="A58" t="str">
        <f>Festival_Data_Clean!B58</f>
        <v>Pune</v>
      </c>
      <c r="B58" t="str">
        <f>Festival_Data_Clean!E58</f>
        <v>Shreya Ghoshal</v>
      </c>
      <c r="C58" t="str">
        <f>_xlfn.XLOOKUP(B58,Artist_Popularity_Clean!A$2:A$11,Artist_Popularity_Clean!B$2:B$11,"Not Found")</f>
        <v>Classical/Bollywood</v>
      </c>
      <c r="D58">
        <f>Festival_Data_Clean!H58</f>
        <v>11366.6</v>
      </c>
    </row>
    <row r="59" spans="1:4">
      <c r="A59" t="str">
        <f>Festival_Data_Clean!B59</f>
        <v>Goa</v>
      </c>
      <c r="B59" t="str">
        <f>Festival_Data_Clean!E59</f>
        <v>Shreya Ghoshal</v>
      </c>
      <c r="C59" t="str">
        <f>_xlfn.XLOOKUP(B59,Artist_Popularity_Clean!A$2:A$11,Artist_Popularity_Clean!B$2:B$11,"Not Found")</f>
        <v>Classical/Bollywood</v>
      </c>
      <c r="D59">
        <f>Festival_Data_Clean!H59</f>
        <v>21249.01</v>
      </c>
    </row>
    <row r="60" spans="1:4">
      <c r="A60" t="str">
        <f>Festival_Data_Clean!B60</f>
        <v>Amritsar</v>
      </c>
      <c r="B60" t="str">
        <f>Festival_Data_Clean!E60</f>
        <v>Bryan Adams</v>
      </c>
      <c r="C60" t="str">
        <f>_xlfn.XLOOKUP(B60,Artist_Popularity_Clean!A$2:A$11,Artist_Popularity_Clean!B$2:B$11,"Not Found")</f>
        <v>Rock</v>
      </c>
      <c r="D60">
        <f>Festival_Data_Clean!H60</f>
        <v>19021.099999999999</v>
      </c>
    </row>
    <row r="61" spans="1:4">
      <c r="A61" t="str">
        <f>Festival_Data_Clean!B61</f>
        <v>Jaipur</v>
      </c>
      <c r="B61" t="str">
        <f>Festival_Data_Clean!E61</f>
        <v>Shreya Ghoshal</v>
      </c>
      <c r="C61" t="str">
        <f>_xlfn.XLOOKUP(B61,Artist_Popularity_Clean!A$2:A$11,Artist_Popularity_Clean!B$2:B$11,"Not Found")</f>
        <v>Classical/Bollywood</v>
      </c>
      <c r="D61">
        <f>Festival_Data_Clean!H61</f>
        <v>31020</v>
      </c>
    </row>
    <row r="62" spans="1:4">
      <c r="A62" t="str">
        <f>Festival_Data_Clean!B62</f>
        <v>Jaipur</v>
      </c>
      <c r="B62" t="str">
        <f>Festival_Data_Clean!E62</f>
        <v>Mika Singh</v>
      </c>
      <c r="C62" t="str">
        <f>_xlfn.XLOOKUP(B62,Artist_Popularity_Clean!A$2:A$11,Artist_Popularity_Clean!B$2:B$11,"Not Found")</f>
        <v>Bollywood</v>
      </c>
      <c r="D62">
        <f>Festival_Data_Clean!H62</f>
        <v>5456</v>
      </c>
    </row>
    <row r="63" spans="1:4">
      <c r="A63" t="str">
        <f>Festival_Data_Clean!B63</f>
        <v>Jaipur</v>
      </c>
      <c r="B63" t="str">
        <f>Festival_Data_Clean!E63</f>
        <v>Arijit Singh</v>
      </c>
      <c r="C63" t="str">
        <f>_xlfn.XLOOKUP(B63,Artist_Popularity_Clean!A$2:A$11,Artist_Popularity_Clean!B$2:B$11,"Not Found")</f>
        <v>Bollywood</v>
      </c>
      <c r="D63">
        <f>Festival_Data_Clean!H63</f>
        <v>37167.599999999999</v>
      </c>
    </row>
    <row r="64" spans="1:4">
      <c r="A64" t="str">
        <f>Festival_Data_Clean!B64</f>
        <v>Goa</v>
      </c>
      <c r="B64" t="str">
        <f>Festival_Data_Clean!E64</f>
        <v>DJ Snake</v>
      </c>
      <c r="C64" t="str">
        <f>_xlfn.XLOOKUP(B64,Artist_Popularity_Clean!A$2:A$11,Artist_Popularity_Clean!B$2:B$11,"Not Found")</f>
        <v>EDM</v>
      </c>
      <c r="D64">
        <f>Festival_Data_Clean!H64</f>
        <v>11355</v>
      </c>
    </row>
    <row r="65" spans="1:4">
      <c r="A65" t="str">
        <f>Festival_Data_Clean!B65</f>
        <v>Delhi</v>
      </c>
      <c r="B65" t="str">
        <f>Festival_Data_Clean!E65</f>
        <v>Arijit Singh</v>
      </c>
      <c r="C65" t="str">
        <f>_xlfn.XLOOKUP(B65,Artist_Popularity_Clean!A$2:A$11,Artist_Popularity_Clean!B$2:B$11,"Not Found")</f>
        <v>Bollywood</v>
      </c>
      <c r="D65">
        <f>Festival_Data_Clean!H65</f>
        <v>27719</v>
      </c>
    </row>
    <row r="66" spans="1:4">
      <c r="A66" t="str">
        <f>Festival_Data_Clean!B66</f>
        <v>Nagpur</v>
      </c>
      <c r="B66" t="str">
        <f>Festival_Data_Clean!E66</f>
        <v>Honey Singh</v>
      </c>
      <c r="C66" t="str">
        <f>_xlfn.XLOOKUP(B66,Artist_Popularity_Clean!A$2:A$11,Artist_Popularity_Clean!B$2:B$11,"Not Found")</f>
        <v>Hip-Hop</v>
      </c>
      <c r="D66">
        <f>Festival_Data_Clean!H66</f>
        <v>35877</v>
      </c>
    </row>
    <row r="67" spans="1:4">
      <c r="A67" t="str">
        <f>Festival_Data_Clean!B67</f>
        <v>Kolkata</v>
      </c>
      <c r="B67" t="str">
        <f>Festival_Data_Clean!E67</f>
        <v>Badshah</v>
      </c>
      <c r="C67" t="str">
        <f>_xlfn.XLOOKUP(B67,Artist_Popularity_Clean!A$2:A$11,Artist_Popularity_Clean!B$2:B$11,"Not Found")</f>
        <v>Bollywood</v>
      </c>
      <c r="D67">
        <f>Festival_Data_Clean!H67</f>
        <v>8270</v>
      </c>
    </row>
    <row r="68" spans="1:4">
      <c r="A68" t="str">
        <f>Festival_Data_Clean!B68</f>
        <v>Nagpur</v>
      </c>
      <c r="B68" t="str">
        <f>Festival_Data_Clean!E68</f>
        <v>Ed Sheeran</v>
      </c>
      <c r="C68" t="str">
        <f>_xlfn.XLOOKUP(B68,Artist_Popularity_Clean!A$2:A$11,Artist_Popularity_Clean!B$2:B$11,"Not Found")</f>
        <v>International Pop</v>
      </c>
      <c r="D68">
        <f>Festival_Data_Clean!H68</f>
        <v>46028</v>
      </c>
    </row>
    <row r="69" spans="1:4">
      <c r="A69" t="str">
        <f>Festival_Data_Clean!B69</f>
        <v>Goa</v>
      </c>
      <c r="B69" t="str">
        <f>Festival_Data_Clean!E69</f>
        <v>Honey Singh</v>
      </c>
      <c r="C69" t="str">
        <f>_xlfn.XLOOKUP(B69,Artist_Popularity_Clean!A$2:A$11,Artist_Popularity_Clean!B$2:B$11,"Not Found")</f>
        <v>Hip-Hop</v>
      </c>
      <c r="D69">
        <f>Festival_Data_Clean!H69</f>
        <v>9560</v>
      </c>
    </row>
    <row r="70" spans="1:4">
      <c r="A70" t="str">
        <f>Festival_Data_Clean!B70</f>
        <v>Goa</v>
      </c>
      <c r="B70" t="str">
        <f>Festival_Data_Clean!E70</f>
        <v>Arijit Singh</v>
      </c>
      <c r="C70" t="str">
        <f>_xlfn.XLOOKUP(B70,Artist_Popularity_Clean!A$2:A$11,Artist_Popularity_Clean!B$2:B$11,"Not Found")</f>
        <v>Bollywood</v>
      </c>
      <c r="D70">
        <f>Festival_Data_Clean!H70</f>
        <v>13578</v>
      </c>
    </row>
    <row r="71" spans="1:4">
      <c r="A71" t="str">
        <f>Festival_Data_Clean!B71</f>
        <v>Pune</v>
      </c>
      <c r="B71" t="str">
        <f>Festival_Data_Clean!E71</f>
        <v>DJ Snake</v>
      </c>
      <c r="C71" t="str">
        <f>_xlfn.XLOOKUP(B71,Artist_Popularity_Clean!A$2:A$11,Artist_Popularity_Clean!B$2:B$11,"Not Found")</f>
        <v>EDM</v>
      </c>
      <c r="D71">
        <f>Festival_Data_Clean!H71</f>
        <v>40916</v>
      </c>
    </row>
    <row r="72" spans="1:4">
      <c r="A72" t="str">
        <f>Festival_Data_Clean!B72</f>
        <v>Chandigarh</v>
      </c>
      <c r="B72" t="str">
        <f>Festival_Data_Clean!E72</f>
        <v>Honey Singh</v>
      </c>
      <c r="C72" t="str">
        <f>_xlfn.XLOOKUP(B72,Artist_Popularity_Clean!A$2:A$11,Artist_Popularity_Clean!B$2:B$11,"Not Found")</f>
        <v>Hip-Hop</v>
      </c>
      <c r="D72">
        <f>Festival_Data_Clean!H72</f>
        <v>13994</v>
      </c>
    </row>
    <row r="73" spans="1:4">
      <c r="A73" t="str">
        <f>Festival_Data_Clean!B73</f>
        <v>Bengaluru</v>
      </c>
      <c r="B73" t="str">
        <f>Festival_Data_Clean!E73</f>
        <v>Badshah</v>
      </c>
      <c r="C73" t="str">
        <f>_xlfn.XLOOKUP(B73,Artist_Popularity_Clean!A$2:A$11,Artist_Popularity_Clean!B$2:B$11,"Not Found")</f>
        <v>Bollywood</v>
      </c>
      <c r="D73">
        <f>Festival_Data_Clean!H73</f>
        <v>14499</v>
      </c>
    </row>
    <row r="74" spans="1:4">
      <c r="A74" t="str">
        <f>Festival_Data_Clean!B74</f>
        <v>Nagpur</v>
      </c>
      <c r="B74" t="str">
        <f>Festival_Data_Clean!E74</f>
        <v>DJ Snake</v>
      </c>
      <c r="C74" t="str">
        <f>_xlfn.XLOOKUP(B74,Artist_Popularity_Clean!A$2:A$11,Artist_Popularity_Clean!B$2:B$11,"Not Found")</f>
        <v>EDM</v>
      </c>
      <c r="D74">
        <f>Festival_Data_Clean!H74</f>
        <v>15002</v>
      </c>
    </row>
    <row r="75" spans="1:4">
      <c r="A75" t="str">
        <f>Festival_Data_Clean!B75</f>
        <v>Goa</v>
      </c>
      <c r="B75" t="str">
        <f>Festival_Data_Clean!E75</f>
        <v>DJ Snake</v>
      </c>
      <c r="C75" t="str">
        <f>_xlfn.XLOOKUP(B75,Artist_Popularity_Clean!A$2:A$11,Artist_Popularity_Clean!B$2:B$11,"Not Found")</f>
        <v>EDM</v>
      </c>
      <c r="D75">
        <f>Festival_Data_Clean!H75</f>
        <v>23169</v>
      </c>
    </row>
    <row r="76" spans="1:4">
      <c r="A76" t="str">
        <f>Festival_Data_Clean!B76</f>
        <v>Nagpur</v>
      </c>
      <c r="B76" t="str">
        <f>Festival_Data_Clean!E76</f>
        <v>DJ Snake</v>
      </c>
      <c r="C76" t="str">
        <f>_xlfn.XLOOKUP(B76,Artist_Popularity_Clean!A$2:A$11,Artist_Popularity_Clean!B$2:B$11,"Not Found")</f>
        <v>EDM</v>
      </c>
      <c r="D76">
        <f>Festival_Data_Clean!H76</f>
        <v>21248.01</v>
      </c>
    </row>
    <row r="77" spans="1:4">
      <c r="A77" t="str">
        <f>Festival_Data_Clean!B77</f>
        <v>Pune</v>
      </c>
      <c r="B77" t="str">
        <f>Festival_Data_Clean!E77</f>
        <v>Mika Singh</v>
      </c>
      <c r="C77" t="str">
        <f>_xlfn.XLOOKUP(B77,Artist_Popularity_Clean!A$2:A$11,Artist_Popularity_Clean!B$2:B$11,"Not Found")</f>
        <v>Bollywood</v>
      </c>
      <c r="D77">
        <f>Festival_Data_Clean!H77</f>
        <v>4240</v>
      </c>
    </row>
    <row r="78" spans="1:4">
      <c r="A78" t="str">
        <f>Festival_Data_Clean!B78</f>
        <v>Delhi</v>
      </c>
      <c r="B78" t="str">
        <f>Festival_Data_Clean!E78</f>
        <v>Bryan Adams</v>
      </c>
      <c r="C78" t="str">
        <f>_xlfn.XLOOKUP(B78,Artist_Popularity_Clean!A$2:A$11,Artist_Popularity_Clean!B$2:B$11,"Not Found")</f>
        <v>Rock</v>
      </c>
      <c r="D78">
        <f>Festival_Data_Clean!H78</f>
        <v>21681.1</v>
      </c>
    </row>
    <row r="79" spans="1:4">
      <c r="A79" t="str">
        <f>Festival_Data_Clean!B79</f>
        <v>Pune</v>
      </c>
      <c r="B79" t="str">
        <f>Festival_Data_Clean!E79</f>
        <v>Honey Singh</v>
      </c>
      <c r="C79" t="str">
        <f>_xlfn.XLOOKUP(B79,Artist_Popularity_Clean!A$2:A$11,Artist_Popularity_Clean!B$2:B$11,"Not Found")</f>
        <v>Hip-Hop</v>
      </c>
      <c r="D79">
        <f>Festival_Data_Clean!H79</f>
        <v>32900</v>
      </c>
    </row>
    <row r="80" spans="1:4">
      <c r="A80" t="str">
        <f>Festival_Data_Clean!B80</f>
        <v>Pune</v>
      </c>
      <c r="B80" t="str">
        <f>Festival_Data_Clean!E80</f>
        <v>Bryan Adams</v>
      </c>
      <c r="C80" t="str">
        <f>_xlfn.XLOOKUP(B80,Artist_Popularity_Clean!A$2:A$11,Artist_Popularity_Clean!B$2:B$11,"Not Found")</f>
        <v>Rock</v>
      </c>
      <c r="D80">
        <f>Festival_Data_Clean!H80</f>
        <v>11366.6</v>
      </c>
    </row>
    <row r="81" spans="1:4">
      <c r="A81" t="str">
        <f>Festival_Data_Clean!B81</f>
        <v>Delhi</v>
      </c>
      <c r="B81" t="str">
        <f>Festival_Data_Clean!E81</f>
        <v>Shreya Ghoshal</v>
      </c>
      <c r="C81" t="str">
        <f>_xlfn.XLOOKUP(B81,Artist_Popularity_Clean!A$2:A$11,Artist_Popularity_Clean!B$2:B$11,"Not Found")</f>
        <v>Classical/Bollywood</v>
      </c>
      <c r="D81">
        <f>Festival_Data_Clean!H81</f>
        <v>5362</v>
      </c>
    </row>
    <row r="82" spans="1:4">
      <c r="A82" t="str">
        <f>Festival_Data_Clean!B82</f>
        <v>Chandigarh</v>
      </c>
      <c r="B82" t="str">
        <f>Festival_Data_Clean!E82</f>
        <v>Martin Garrix</v>
      </c>
      <c r="C82" t="str">
        <f>_xlfn.XLOOKUP(B82,Artist_Popularity_Clean!A$2:A$11,Artist_Popularity_Clean!B$2:B$11,"Not Found")</f>
        <v>EDM</v>
      </c>
      <c r="D82">
        <f>Festival_Data_Clean!H82</f>
        <v>6748</v>
      </c>
    </row>
    <row r="83" spans="1:4">
      <c r="A83" t="str">
        <f>Festival_Data_Clean!B83</f>
        <v>Jaipur</v>
      </c>
      <c r="B83" t="str">
        <f>Festival_Data_Clean!E83</f>
        <v>Arijit Singh</v>
      </c>
      <c r="C83" t="str">
        <f>_xlfn.XLOOKUP(B83,Artist_Popularity_Clean!A$2:A$11,Artist_Popularity_Clean!B$2:B$11,"Not Found")</f>
        <v>Bollywood</v>
      </c>
      <c r="D83">
        <f>Festival_Data_Clean!H83</f>
        <v>11979</v>
      </c>
    </row>
    <row r="84" spans="1:4">
      <c r="A84" t="str">
        <f>Festival_Data_Clean!B84</f>
        <v>Kolkata</v>
      </c>
      <c r="B84" t="str">
        <f>Festival_Data_Clean!E84</f>
        <v>Diljit Dosanjh</v>
      </c>
      <c r="C84" t="str">
        <f>_xlfn.XLOOKUP(B84,Artist_Popularity_Clean!A$2:A$11,Artist_Popularity_Clean!B$2:B$11,"Not Found")</f>
        <v>Punjabi</v>
      </c>
      <c r="D84">
        <f>Festival_Data_Clean!H84</f>
        <v>45372.6</v>
      </c>
    </row>
    <row r="85" spans="1:4">
      <c r="A85" t="str">
        <f>Festival_Data_Clean!B85</f>
        <v>Jaipur</v>
      </c>
      <c r="B85" t="str">
        <f>Festival_Data_Clean!E85</f>
        <v>Martin Garrix</v>
      </c>
      <c r="C85" t="str">
        <f>_xlfn.XLOOKUP(B85,Artist_Popularity_Clean!A$2:A$11,Artist_Popularity_Clean!B$2:B$11,"Not Found")</f>
        <v>EDM</v>
      </c>
      <c r="D85">
        <f>Festival_Data_Clean!H85</f>
        <v>17678</v>
      </c>
    </row>
    <row r="86" spans="1:4">
      <c r="A86" t="str">
        <f>Festival_Data_Clean!B86</f>
        <v>Bengaluru</v>
      </c>
      <c r="B86" t="str">
        <f>Festival_Data_Clean!E86</f>
        <v>Badshah</v>
      </c>
      <c r="C86" t="str">
        <f>_xlfn.XLOOKUP(B86,Artist_Popularity_Clean!A$2:A$11,Artist_Popularity_Clean!B$2:B$11,"Not Found")</f>
        <v>Bollywood</v>
      </c>
      <c r="D86">
        <f>Festival_Data_Clean!H86</f>
        <v>11076</v>
      </c>
    </row>
    <row r="87" spans="1:4">
      <c r="A87" t="str">
        <f>Festival_Data_Clean!B87</f>
        <v>Mumbai</v>
      </c>
      <c r="B87" t="str">
        <f>Festival_Data_Clean!E87</f>
        <v>Arijit Singh</v>
      </c>
      <c r="C87" t="str">
        <f>_xlfn.XLOOKUP(B87,Artist_Popularity_Clean!A$2:A$11,Artist_Popularity_Clean!B$2:B$11,"Not Found")</f>
        <v>Bollywood</v>
      </c>
      <c r="D87">
        <f>Festival_Data_Clean!H87</f>
        <v>9525</v>
      </c>
    </row>
    <row r="88" spans="1:4">
      <c r="A88" t="str">
        <f>Festival_Data_Clean!B88</f>
        <v>Amritsar</v>
      </c>
      <c r="B88" t="str">
        <f>Festival_Data_Clean!E88</f>
        <v>Ed Sheeran</v>
      </c>
      <c r="C88" t="str">
        <f>_xlfn.XLOOKUP(B88,Artist_Popularity_Clean!A$2:A$11,Artist_Popularity_Clean!B$2:B$11,"Not Found")</f>
        <v>International Pop</v>
      </c>
      <c r="D88">
        <f>Festival_Data_Clean!H88</f>
        <v>21248.01</v>
      </c>
    </row>
    <row r="89" spans="1:4">
      <c r="A89" t="str">
        <f>Festival_Data_Clean!B89</f>
        <v>Nagpur</v>
      </c>
      <c r="B89" t="str">
        <f>Festival_Data_Clean!E89</f>
        <v>Arijit Singh</v>
      </c>
      <c r="C89" t="str">
        <f>_xlfn.XLOOKUP(B89,Artist_Popularity_Clean!A$2:A$11,Artist_Popularity_Clean!B$2:B$11,"Not Found")</f>
        <v>Bollywood</v>
      </c>
      <c r="D89">
        <f>Festival_Data_Clean!H89</f>
        <v>7762</v>
      </c>
    </row>
    <row r="90" spans="1:4">
      <c r="A90" t="str">
        <f>Festival_Data_Clean!B90</f>
        <v>Nagpur</v>
      </c>
      <c r="B90" t="str">
        <f>Festival_Data_Clean!E90</f>
        <v>Arijit Singh</v>
      </c>
      <c r="C90" t="str">
        <f>_xlfn.XLOOKUP(B90,Artist_Popularity_Clean!A$2:A$11,Artist_Popularity_Clean!B$2:B$11,"Not Found")</f>
        <v>Bollywood</v>
      </c>
      <c r="D90">
        <f>Festival_Data_Clean!H90</f>
        <v>27598</v>
      </c>
    </row>
    <row r="91" spans="1:4">
      <c r="A91" t="str">
        <f>Festival_Data_Clean!B91</f>
        <v>Mumbai</v>
      </c>
      <c r="B91" t="str">
        <f>Festival_Data_Clean!E91</f>
        <v>Arijit Singh</v>
      </c>
      <c r="C91" t="str">
        <f>_xlfn.XLOOKUP(B91,Artist_Popularity_Clean!A$2:A$11,Artist_Popularity_Clean!B$2:B$11,"Not Found")</f>
        <v>Bollywood</v>
      </c>
      <c r="D91">
        <f>Festival_Data_Clean!H91</f>
        <v>8702</v>
      </c>
    </row>
    <row r="92" spans="1:4">
      <c r="A92" t="str">
        <f>Festival_Data_Clean!B92</f>
        <v>Bengaluru</v>
      </c>
      <c r="B92" t="str">
        <f>Festival_Data_Clean!E92</f>
        <v>Shreya Ghoshal</v>
      </c>
      <c r="C92" t="str">
        <f>_xlfn.XLOOKUP(B92,Artist_Popularity_Clean!A$2:A$11,Artist_Popularity_Clean!B$2:B$11,"Not Found")</f>
        <v>Classical/Bollywood</v>
      </c>
      <c r="D92">
        <f>Festival_Data_Clean!H92</f>
        <v>8214</v>
      </c>
    </row>
    <row r="93" spans="1:4">
      <c r="A93" t="str">
        <f>Festival_Data_Clean!B93</f>
        <v>Amritsar</v>
      </c>
      <c r="B93" t="str">
        <f>Festival_Data_Clean!E93</f>
        <v>Bryan Adams</v>
      </c>
      <c r="C93" t="str">
        <f>_xlfn.XLOOKUP(B93,Artist_Popularity_Clean!A$2:A$11,Artist_Popularity_Clean!B$2:B$11,"Not Found")</f>
        <v>Rock</v>
      </c>
      <c r="D93">
        <f>Festival_Data_Clean!H93</f>
        <v>21248.01</v>
      </c>
    </row>
    <row r="94" spans="1:4">
      <c r="A94" t="str">
        <f>Festival_Data_Clean!B94</f>
        <v>Jaipur</v>
      </c>
      <c r="B94" t="str">
        <f>Festival_Data_Clean!E94</f>
        <v>DJ Snake</v>
      </c>
      <c r="C94" t="str">
        <f>_xlfn.XLOOKUP(B94,Artist_Popularity_Clean!A$2:A$11,Artist_Popularity_Clean!B$2:B$11,"Not Found")</f>
        <v>EDM</v>
      </c>
      <c r="D94">
        <f>Festival_Data_Clean!H94</f>
        <v>18095</v>
      </c>
    </row>
    <row r="95" spans="1:4">
      <c r="A95" t="str">
        <f>Festival_Data_Clean!B95</f>
        <v>Jaipur</v>
      </c>
      <c r="B95" t="str">
        <f>Festival_Data_Clean!E95</f>
        <v>Mika Singh</v>
      </c>
      <c r="C95" t="str">
        <f>_xlfn.XLOOKUP(B95,Artist_Popularity_Clean!A$2:A$11,Artist_Popularity_Clean!B$2:B$11,"Not Found")</f>
        <v>Bollywood</v>
      </c>
      <c r="D95">
        <f>Festival_Data_Clean!H95</f>
        <v>38295</v>
      </c>
    </row>
    <row r="96" spans="1:4">
      <c r="A96" t="str">
        <f>Festival_Data_Clean!B96</f>
        <v>Goa</v>
      </c>
      <c r="B96" t="str">
        <f>Festival_Data_Clean!E96</f>
        <v>Mika Singh</v>
      </c>
      <c r="C96" t="str">
        <f>_xlfn.XLOOKUP(B96,Artist_Popularity_Clean!A$2:A$11,Artist_Popularity_Clean!B$2:B$11,"Not Found")</f>
        <v>Bollywood</v>
      </c>
      <c r="D96">
        <f>Festival_Data_Clean!H96</f>
        <v>39893</v>
      </c>
    </row>
    <row r="97" spans="1:4">
      <c r="A97" t="str">
        <f>Festival_Data_Clean!B97</f>
        <v>Bengaluru</v>
      </c>
      <c r="B97" t="str">
        <f>Festival_Data_Clean!E97</f>
        <v>Ed Sheeran</v>
      </c>
      <c r="C97" t="str">
        <f>_xlfn.XLOOKUP(B97,Artist_Popularity_Clean!A$2:A$11,Artist_Popularity_Clean!B$2:B$11,"Not Found")</f>
        <v>International Pop</v>
      </c>
      <c r="D97">
        <f>Festival_Data_Clean!H97</f>
        <v>14283</v>
      </c>
    </row>
    <row r="98" spans="1:4">
      <c r="A98" t="str">
        <f>Festival_Data_Clean!B98</f>
        <v>Kolkata</v>
      </c>
      <c r="B98" t="str">
        <f>Festival_Data_Clean!E98</f>
        <v>Badshah</v>
      </c>
      <c r="C98" t="str">
        <f>_xlfn.XLOOKUP(B98,Artist_Popularity_Clean!A$2:A$11,Artist_Popularity_Clean!B$2:B$11,"Not Found")</f>
        <v>Bollywood</v>
      </c>
      <c r="D98">
        <f>Festival_Data_Clean!H98</f>
        <v>8925</v>
      </c>
    </row>
    <row r="99" spans="1:4">
      <c r="A99" t="str">
        <f>Festival_Data_Clean!B99</f>
        <v>Delhi</v>
      </c>
      <c r="B99" t="str">
        <f>Festival_Data_Clean!E99</f>
        <v>Arijit Singh</v>
      </c>
      <c r="C99" t="str">
        <f>_xlfn.XLOOKUP(B99,Artist_Popularity_Clean!A$2:A$11,Artist_Popularity_Clean!B$2:B$11,"Not Found")</f>
        <v>Bollywood</v>
      </c>
      <c r="D99">
        <f>Festival_Data_Clean!H99</f>
        <v>4885</v>
      </c>
    </row>
    <row r="100" spans="1:4">
      <c r="A100" t="str">
        <f>Festival_Data_Clean!B100</f>
        <v>Nagpur</v>
      </c>
      <c r="B100" t="str">
        <f>Festival_Data_Clean!E100</f>
        <v>Honey Singh</v>
      </c>
      <c r="C100" t="str">
        <f>_xlfn.XLOOKUP(B100,Artist_Popularity_Clean!A$2:A$11,Artist_Popularity_Clean!B$2:B$11,"Not Found")</f>
        <v>Hip-Hop</v>
      </c>
      <c r="D100">
        <f>Festival_Data_Clean!H100</f>
        <v>4425</v>
      </c>
    </row>
    <row r="101" spans="1:4">
      <c r="A101" t="str">
        <f>Festival_Data_Clean!B101</f>
        <v>Goa</v>
      </c>
      <c r="B101" t="str">
        <f>Festival_Data_Clean!E101</f>
        <v>Mika Singh</v>
      </c>
      <c r="C101" t="str">
        <f>_xlfn.XLOOKUP(B101,Artist_Popularity_Clean!A$2:A$11,Artist_Popularity_Clean!B$2:B$11,"Not Found")</f>
        <v>Bollywood</v>
      </c>
      <c r="D101">
        <f>Festival_Data_Clean!H101</f>
        <v>37105</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67F50-53E9-4FBB-9712-89C4694F18EE}">
  <dimension ref="A1:Q11"/>
  <sheetViews>
    <sheetView zoomScale="81" workbookViewId="0">
      <selection activeCell="N24" sqref="N24"/>
    </sheetView>
  </sheetViews>
  <sheetFormatPr defaultRowHeight="14.4"/>
  <cols>
    <col min="2" max="2" width="15.5546875" bestFit="1" customWidth="1"/>
    <col min="3" max="3" width="13.109375" bestFit="1" customWidth="1"/>
    <col min="4" max="4" width="22.109375" bestFit="1" customWidth="1"/>
  </cols>
  <sheetData>
    <row r="1" spans="1:17">
      <c r="A1" s="11" t="s">
        <v>39</v>
      </c>
      <c r="B1" s="11" t="s">
        <v>175</v>
      </c>
      <c r="C1" s="11" t="s">
        <v>192</v>
      </c>
      <c r="D1" s="11" t="s">
        <v>231</v>
      </c>
    </row>
    <row r="2" spans="1:17">
      <c r="A2" t="s">
        <v>56</v>
      </c>
      <c r="B2">
        <v>150796.4</v>
      </c>
      <c r="C2">
        <v>633786616</v>
      </c>
      <c r="D2" s="8">
        <v>4202.9293537511503</v>
      </c>
    </row>
    <row r="3" spans="1:17">
      <c r="A3" t="s">
        <v>50</v>
      </c>
      <c r="B3">
        <v>144910.20000000001</v>
      </c>
      <c r="C3">
        <v>594009538</v>
      </c>
      <c r="D3" s="8">
        <v>4099.1561532590522</v>
      </c>
    </row>
    <row r="4" spans="1:17">
      <c r="A4" t="s">
        <v>78</v>
      </c>
      <c r="B4">
        <v>182282.2</v>
      </c>
      <c r="C4">
        <v>704941981</v>
      </c>
      <c r="D4" s="8">
        <v>3867.3111307631789</v>
      </c>
      <c r="Q4" s="2"/>
    </row>
    <row r="5" spans="1:17">
      <c r="A5" t="s">
        <v>63</v>
      </c>
      <c r="B5">
        <v>310677.21999999997</v>
      </c>
      <c r="C5">
        <v>1057945551</v>
      </c>
      <c r="D5" s="8">
        <v>3405.2884566174503</v>
      </c>
    </row>
    <row r="6" spans="1:17">
      <c r="A6" t="s">
        <v>54</v>
      </c>
      <c r="B6">
        <v>280485.40999999997</v>
      </c>
      <c r="C6">
        <v>937368205</v>
      </c>
      <c r="D6" s="8">
        <v>3341.949960962319</v>
      </c>
    </row>
    <row r="7" spans="1:17">
      <c r="A7" t="s">
        <v>66</v>
      </c>
      <c r="B7">
        <v>334965.90000000002</v>
      </c>
      <c r="C7">
        <v>1042742146</v>
      </c>
      <c r="D7" s="8">
        <v>3112.9799958742069</v>
      </c>
    </row>
    <row r="8" spans="1:17">
      <c r="A8" t="s">
        <v>84</v>
      </c>
      <c r="B8">
        <v>116679.12</v>
      </c>
      <c r="C8">
        <v>342669864</v>
      </c>
      <c r="D8" s="8">
        <v>2936.8567743740268</v>
      </c>
    </row>
    <row r="9" spans="1:17">
      <c r="A9" t="s">
        <v>60</v>
      </c>
      <c r="B9">
        <v>382152.11</v>
      </c>
      <c r="C9">
        <v>1109920890</v>
      </c>
      <c r="D9" s="8">
        <v>2904.3955559999395</v>
      </c>
    </row>
    <row r="10" spans="1:17">
      <c r="A10" t="s">
        <v>94</v>
      </c>
      <c r="B10">
        <v>155236.1</v>
      </c>
      <c r="C10">
        <v>340514615</v>
      </c>
      <c r="D10" s="8">
        <v>2193.52724656185</v>
      </c>
    </row>
    <row r="11" spans="1:17">
      <c r="A11" t="s">
        <v>82</v>
      </c>
      <c r="B11">
        <v>79127.199999999997</v>
      </c>
      <c r="C11">
        <v>171830232</v>
      </c>
      <c r="D11" s="8">
        <v>2171.5697257074685</v>
      </c>
    </row>
  </sheetData>
  <sortState xmlns:xlrd2="http://schemas.microsoft.com/office/spreadsheetml/2017/richdata2" ref="A2:D11">
    <sortCondition descending="1" ref="D2:D11"/>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33E71395-E51A-4308-B705-404E8E693AF3}">
  <ds:schemaRefs/>
</ds:datastoreItem>
</file>

<file path=customXml/itemProps2.xml><?xml version="1.0" encoding="utf-8"?>
<ds:datastoreItem xmlns:ds="http://schemas.openxmlformats.org/officeDocument/2006/customXml" ds:itemID="{79981D0F-C8FF-4727-BBF2-9376F91AF2B7}">
  <ds:schemaRefs/>
</ds:datastoreItem>
</file>

<file path=customXml/itemProps3.xml><?xml version="1.0" encoding="utf-8"?>
<ds:datastoreItem xmlns:ds="http://schemas.openxmlformats.org/officeDocument/2006/customXml" ds:itemID="{D29E7C75-86DD-4B24-B8A9-9B3113750BF9}">
  <ds:schemaRefs/>
</ds:datastoreItem>
</file>

<file path=customXml/itemProps4.xml><?xml version="1.0" encoding="utf-8"?>
<ds:datastoreItem xmlns:ds="http://schemas.openxmlformats.org/officeDocument/2006/customXml" ds:itemID="{6369F606-22E9-4349-AEF8-A2FF757E47F9}">
  <ds:schemaRefs/>
</ds:datastoreItem>
</file>

<file path=customXml/itemProps5.xml><?xml version="1.0" encoding="utf-8"?>
<ds:datastoreItem xmlns:ds="http://schemas.openxmlformats.org/officeDocument/2006/customXml" ds:itemID="{E7AA97A0-8B60-4A56-8300-441F3D0A8188}">
  <ds:schemaRefs/>
</ds:datastoreItem>
</file>

<file path=customXml/itemProps6.xml><?xml version="1.0" encoding="utf-8"?>
<ds:datastoreItem xmlns:ds="http://schemas.openxmlformats.org/officeDocument/2006/customXml" ds:itemID="{A8C720FB-D15C-4642-AC0E-CB857257425F}">
  <ds:schemaRefs/>
</ds:datastoreItem>
</file>

<file path=customXml/itemProps7.xml><?xml version="1.0" encoding="utf-8"?>
<ds:datastoreItem xmlns:ds="http://schemas.openxmlformats.org/officeDocument/2006/customXml" ds:itemID="{EF62BEB1-6219-4138-B3A1-8B339F15C108}">
  <ds:schemaRefs/>
</ds:datastoreItem>
</file>

<file path=customXml/itemProps8.xml><?xml version="1.0" encoding="utf-8"?>
<ds:datastoreItem xmlns:ds="http://schemas.openxmlformats.org/officeDocument/2006/customXml" ds:itemID="{5B4E550C-3B7A-4D70-95E4-9CC65AF9A3B9}">
  <ds:schemaRefs/>
</ds:datastoreItem>
</file>

<file path=customXml/itemProps9.xml><?xml version="1.0" encoding="utf-8"?>
<ds:datastoreItem xmlns:ds="http://schemas.openxmlformats.org/officeDocument/2006/customXml" ds:itemID="{4127FFA7-40AD-49E5-844E-E32F61E63924}">
  <ds:schemaRefs/>
</ds:datastoreItem>
</file>

<file path=customXml/itemProps10.xml><?xml version="1.0" encoding="utf-8"?>
<ds:datastoreItem xmlns:ds="http://schemas.openxmlformats.org/officeDocument/2006/customXml" ds:itemID="{473835C1-4E7C-45E7-8D94-230204D83B56}">
  <ds:schemaRefs/>
</ds:datastoreItem>
</file>

<file path=customXml/itemProps11.xml><?xml version="1.0" encoding="utf-8"?>
<ds:datastoreItem xmlns:ds="http://schemas.openxmlformats.org/officeDocument/2006/customXml" ds:itemID="{B9494199-37D3-4A6B-8186-973078BF5298}">
  <ds:schemaRefs/>
</ds:datastoreItem>
</file>

<file path=customXml/itemProps12.xml><?xml version="1.0" encoding="utf-8"?>
<ds:datastoreItem xmlns:ds="http://schemas.openxmlformats.org/officeDocument/2006/customXml" ds:itemID="{D274C65E-55D1-4F9C-9E69-F3F36D387E8A}">
  <ds:schemaRefs/>
</ds:datastoreItem>
</file>

<file path=customXml/itemProps13.xml><?xml version="1.0" encoding="utf-8"?>
<ds:datastoreItem xmlns:ds="http://schemas.openxmlformats.org/officeDocument/2006/customXml" ds:itemID="{DD674E6B-32F1-4B0A-8F51-4592DD06A29C}">
  <ds:schemaRefs/>
</ds:datastoreItem>
</file>

<file path=customXml/itemProps14.xml><?xml version="1.0" encoding="utf-8"?>
<ds:datastoreItem xmlns:ds="http://schemas.openxmlformats.org/officeDocument/2006/customXml" ds:itemID="{D6015072-2474-46A7-B8E6-A16005B081E3}">
  <ds:schemaRefs/>
</ds:datastoreItem>
</file>

<file path=customXml/itemProps15.xml><?xml version="1.0" encoding="utf-8"?>
<ds:datastoreItem xmlns:ds="http://schemas.openxmlformats.org/officeDocument/2006/customXml" ds:itemID="{B342B1B8-7805-4684-9335-335BB89D34AB}">
  <ds:schemaRefs/>
</ds:datastoreItem>
</file>

<file path=customXml/itemProps16.xml><?xml version="1.0" encoding="utf-8"?>
<ds:datastoreItem xmlns:ds="http://schemas.openxmlformats.org/officeDocument/2006/customXml" ds:itemID="{A98A4755-0D6A-48DA-B7F8-024634065E79}">
  <ds:schemaRefs/>
</ds:datastoreItem>
</file>

<file path=customXml/itemProps17.xml><?xml version="1.0" encoding="utf-8"?>
<ds:datastoreItem xmlns:ds="http://schemas.openxmlformats.org/officeDocument/2006/customXml" ds:itemID="{F797AF56-B466-496A-A482-2F492AC150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ROW_Music_Festival_Data</vt:lpstr>
      <vt:lpstr>ROW_Artist_Popularity_Data</vt:lpstr>
      <vt:lpstr>Festival_Data_Clean</vt:lpstr>
      <vt:lpstr>Festival_Clean_PowerBI</vt:lpstr>
      <vt:lpstr>Artist_Popularity_Clean</vt:lpstr>
      <vt:lpstr>Artist_Popularity_Clean_PowerBI</vt:lpstr>
      <vt:lpstr>Stage2_Q1</vt:lpstr>
      <vt:lpstr>Stage2_Q2</vt:lpstr>
      <vt:lpstr>Stage2_Q3</vt:lpstr>
      <vt:lpstr>Stage3_Q1</vt:lpstr>
      <vt:lpstr>Stage3_Q2</vt:lpstr>
      <vt:lpstr>Stage3_Q3</vt:lpstr>
      <vt:lpstr>Stage4_Q1</vt:lpstr>
      <vt:lpstr>Stage4_Q2</vt:lpstr>
      <vt:lpstr>Stage4_Q3</vt:lpstr>
      <vt:lpstr>Stage5_Q1</vt:lpstr>
      <vt:lpstr>Stage5_Q2</vt:lpstr>
      <vt:lpstr>Stage5_Q3</vt:lpstr>
      <vt:lpstr>Stage6_Q1</vt:lpstr>
      <vt:lpstr>Stage6_Q2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Das</dc:creator>
  <cp:lastModifiedBy>Akash Das</cp:lastModifiedBy>
  <dcterms:created xsi:type="dcterms:W3CDTF">2026-10-01T06:29:52Z</dcterms:created>
  <dcterms:modified xsi:type="dcterms:W3CDTF">2026-10-05T17:31:31Z</dcterms:modified>
</cp:coreProperties>
</file>